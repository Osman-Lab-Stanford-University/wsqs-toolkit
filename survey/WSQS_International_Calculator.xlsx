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1e17bce2d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bbaa009fc0f48bd"/>
    <x:sheet xmlns:r="http://schemas.openxmlformats.org/officeDocument/2006/relationships" name="MY WSQS" sheetId="2" r:id="Rdc04714a50894678"/>
    <x:sheet xmlns:r="http://schemas.openxmlformats.org/officeDocument/2006/relationships" name="BATCH CORE8" sheetId="3" r:id="R97d1f3bcecd64148"/>
    <x:sheet xmlns:r="http://schemas.openxmlformats.org/officeDocument/2006/relationships" name="RESEARCH ENTRY" sheetId="4" r:id="Re5d91352baab419b"/>
    <x:sheet xmlns:r="http://schemas.openxmlformats.org/officeDocument/2006/relationships" name="CORE8 KEY" sheetId="5" r:id="Rde9f4df853424ddb"/>
    <x:sheet xmlns:r="http://schemas.openxmlformats.org/officeDocument/2006/relationships" name="RESULTS VIEW" sheetId="6" r:id="R208ba1d8e87a43a0"/>
    <x:sheet xmlns:r="http://schemas.openxmlformats.org/officeDocument/2006/relationships" name="LOOKUPS" sheetId="7" r:id="R8215941f9b3d4bef"/>
    <x:sheet xmlns:r="http://schemas.openxmlformats.org/officeDocument/2006/relationships" name="CORE8 QUESTIONS" sheetId="8" r:id="R0ced08972fc84637"/>
    <x:sheet xmlns:r="http://schemas.openxmlformats.org/officeDocument/2006/relationships" name="EXTENSION ENTRY" sheetId="9" r:id="Rd36572653ba64c03"/>
  </x:sheets>
  <x:definedNames>
    <x:definedName name="CHOICE_Q2_2">'LOOKUPS'!$A$2:$A$6</x:definedName>
    <x:definedName name="CHOICE_Q3_1">'LOOKUPS'!$B$2:$B$6</x:definedName>
    <x:definedName name="CHOICE_Q4_1">'LOOKUPS'!$C$2:$C$6</x:definedName>
    <x:definedName name="CHOICE_Q5_1">'LOOKUPS'!$D$2:$D$6</x:definedName>
    <x:definedName name="CHOICE_Q6_1">'LOOKUPS'!$E$2:$E$6</x:definedName>
    <x:definedName name="CHOICE_Q7_1">'LOOKUPS'!$F$2:$F$6</x:definedName>
    <x:definedName name="CHOICE_Q8_1">'LOOKUPS'!$G$2:$G$6</x:definedName>
    <x:definedName name="CHOICE_Q9_1">'LOOKUPS'!$H$2:$H$7</x:definedName>
    <x:definedName name="CHOICE_R_Q1_1">'LOOKUPS'!$I$2:$I$7</x:definedName>
    <x:definedName name="CHOICE_R_Q1_3">'LOOKUPS'!$J$2:$J$7</x:definedName>
    <x:definedName name="CHOICE_R_Q2_2">'LOOKUPS'!$K$2:$K$6</x:definedName>
    <x:definedName name="CHOICE_R_Q2_3_STATUS">'LOOKUPS'!$L$2:$L$4</x:definedName>
    <x:definedName name="CHOICE_R_Q2_5">'LOOKUPS'!$M$2:$M$6</x:definedName>
    <x:definedName name="CHOICE_R_Q2_8">'LOOKUPS'!$N$2:$N$6</x:definedName>
    <x:definedName name="CHOICE_R_Q3_1">'LOOKUPS'!$O$2:$O$6</x:definedName>
    <x:definedName name="CHOICE_R_Q3_2">'LOOKUPS'!$P$2:$P$6</x:definedName>
    <x:definedName name="CHOICE_R_Q3_3">'LOOKUPS'!$Q$2:$Q$6</x:definedName>
    <x:definedName name="CHOICE_R_Q3_5">'LOOKUPS'!$R$2:$R$5</x:definedName>
    <x:definedName name="CHOICE_R_Q3_6">'LOOKUPS'!$S$2:$S$7</x:definedName>
    <x:definedName name="CHOICE_R_Q4_1">'LOOKUPS'!$T$2:$T$6</x:definedName>
    <x:definedName name="CHOICE_R_Q4_2">'LOOKUPS'!$U$2:$U$7</x:definedName>
    <x:definedName name="CHOICE_R_Q4_3">'LOOKUPS'!$V$2:$V$8</x:definedName>
    <x:definedName name="CHOICE_R_Q4_4">'LOOKUPS'!$W$2:$W$5</x:definedName>
    <x:definedName name="CHOICE_R_Q5_1">'LOOKUPS'!$X$2:$X$6</x:definedName>
    <x:definedName name="CHOICE_R_Q5_2">'LOOKUPS'!$Y$2:$Y$4</x:definedName>
    <x:definedName name="CHOICE_R_Q5_3">'LOOKUPS'!$Z$2:$Z$5</x:definedName>
    <x:definedName name="CHOICE_R_Q6_1">'LOOKUPS'!$AA$2:$AA$6</x:definedName>
    <x:definedName name="CHOICE_R_Q6_2">'LOOKUPS'!$AB$2:$AB$6</x:definedName>
    <x:definedName name="CHOICE_R_Q6_3">'LOOKUPS'!$AC$2:$AC$6</x:definedName>
    <x:definedName name="CHOICE_R_Q6_4">'LOOKUPS'!$AD$2:$AD$6</x:definedName>
    <x:definedName name="CHOICE_R_Q7_1">'LOOKUPS'!$AE$2:$AE$6</x:definedName>
    <x:definedName name="CHOICE_R_Q7_3">'LOOKUPS'!$AF$2:$AF$6</x:definedName>
    <x:definedName name="CHOICE_R_Q7_4">'LOOKUPS'!$AG$2:$AG$4</x:definedName>
    <x:definedName name="CHOICE_R_Q8_1">'LOOKUPS'!$AH$2:$AH$6</x:definedName>
    <x:definedName name="CHOICE_R_Q8_2_UNIT">'LOOKUPS'!$AI$2:$AI$3</x:definedName>
    <x:definedName name="CHOICE_R_Q8_2_STATUS">'LOOKUPS'!$AJ$2:$AJ$4</x:definedName>
    <x:definedName name="CHOICE_R_Q8_3">'LOOKUPS'!$AK$2:$AK$6</x:definedName>
    <x:definedName name="CHOICE_R_Q8_4">'LOOKUPS'!$AL$2:$AL$4</x:definedName>
    <x:definedName name="CHOICE_R_Q9_1">'LOOKUPS'!$AM$2:$AM$7</x:definedName>
    <x:definedName name="CHOICE_R_Q9_2">'LOOKUPS'!$AN$2:$AN$7</x:definedName>
    <x:definedName name="CHOICE_R_Q9_4">'LOOKUPS'!$AO$2:$AO$4</x:definedName>
    <x:definedName name="CHOICE_R_Q15_10">'LOOKUPS'!$AP$2:$AP$9</x:definedName>
    <x:definedName name="CHOICE_R_Q15_14">'LOOKUPS'!$AQ$2:$AQ$5</x:definedName>
    <x:definedName name="CHOICE_R_Q15_2">'LOOKUPS'!$AR$2:$AR$5</x:definedName>
    <x:definedName name="CHOICE_R_Q15_17_STATUS">'LOOKUPS'!$AS$2:$AS$4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rgb="FF000000"/>
      <x:name val="Times New Roman"/>
    </x:font>
    <x:font>
      <x:b/>
      <x:sz val="11"/>
      <x:color rgb="FF000000"/>
      <x:name val="Times New Roman"/>
    </x:font>
    <x:font>
      <x:b/>
      <x:sz val="13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>
      <x:bottom style="thin">
        <x:color rgb="FF000000"/>
      </x:bottom>
    </x:border>
    <x:border/>
    <x:border>
      <x:bottom style="thin">
        <x:color rgb="FF00000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/>
    <x:xf numFmtId="0" fontId="2" fillId="0" borderId="1" xfId="0"/>
    <x:xf numFmtId="0" fontId="1" fillId="0" borderId="1" xfId="0"/>
    <x:xf numFmtId="0" fontId="0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3" xfId="0" applyNumberFormat="1" applyFont="1" applyFill="1" applyBorder="1"/>
    <x:xf numFmtId="0" fontId="1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2" borderId="2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3bbc2291114a41" /><Relationship Type="http://schemas.openxmlformats.org/officeDocument/2006/relationships/theme" Target="/xl/theme/theme1.xml" Id="R527195f1dbf04b38" /><Relationship Type="http://schemas.openxmlformats.org/officeDocument/2006/relationships/sharedStrings" Target="/xl/sharedStrings.xml" Id="R04901040686f4e64" /><Relationship Type="http://schemas.openxmlformats.org/officeDocument/2006/relationships/worksheet" Target="/xl/worksheets/sheet1.xml" Id="Rabbaa009fc0f48bd" /><Relationship Type="http://schemas.openxmlformats.org/officeDocument/2006/relationships/worksheet" Target="/xl/worksheets/sheet2.xml" Id="Rdc04714a50894678" /><Relationship Type="http://schemas.openxmlformats.org/officeDocument/2006/relationships/worksheet" Target="/xl/worksheets/sheet3.xml" Id="R97d1f3bcecd64148" /><Relationship Type="http://schemas.openxmlformats.org/officeDocument/2006/relationships/worksheet" Target="/xl/worksheets/sheet4.xml" Id="Re5d91352baab419b" /><Relationship Type="http://schemas.openxmlformats.org/officeDocument/2006/relationships/worksheet" Target="/xl/worksheets/sheet5.xml" Id="Rde9f4df853424ddb" /><Relationship Type="http://schemas.openxmlformats.org/officeDocument/2006/relationships/worksheet" Target="/xl/worksheets/sheet6.xml" Id="R208ba1d8e87a43a0" /><Relationship Type="http://schemas.openxmlformats.org/officeDocument/2006/relationships/worksheet" Target="/xl/worksheets/sheet7.xml" Id="R8215941f9b3d4bef" /><Relationship Type="http://schemas.openxmlformats.org/officeDocument/2006/relationships/worksheet" Target="/xl/worksheets/sheet8.xml" Id="R0ced08972fc84637" /><Relationship Type="http://schemas.openxmlformats.org/officeDocument/2006/relationships/worksheet" Target="/xl/worksheets/sheet9.xml" Id="Rd36572653ba64c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4" customWidth="1"/>
    <x:col min="2" max="2" width="25" customWidth="1"/>
    <x:col min="3" max="3" width="26" customWidth="1"/>
    <x:col min="4" max="4" width="97" customWidth="1"/>
    <x:col min="5" max="5" width="4" customWidth="1"/>
  </x:cols>
  <x:sheetData>
    <x:row r="2" ht="25" customHeight="1">
      <x:c r="B2" s="2" t="inlineStr">
        <x:is>
          <x:t xml:space="preserve">WATER SERVICE QUALITY SCORE (WSQS)</x:t>
        </x:is>
      </x:c>
    </x:row>
    <x:row r="3" ht="25" customHeight="1">
      <x:c r="B3" s="1" t="inlineStr">
        <x:is>
          <x:t xml:space="preserve">MEASUREMENT AND ANALYSIS TOOLKIT | USER GUIDE</x:t>
        </x:is>
      </x:c>
    </x:row>
    <x:row r="4">
      <x:c r="B4" t="inlineStr">
        <x:is>
          <x:t xml:space="preserve">International survey adaptation. Original CORE-8 scoring is unchanged.</x:t>
        </x:is>
      </x:c>
    </x:row>
    <x:row r="6" ht="23" customHeight="1">
      <x:c r="B6" s="3" t="inlineStr">
        <x:is>
          <x:t xml:space="preserve">GETTING STARTED</x:t>
        </x:is>
      </x:c>
      <x:c r="C6" s="3" t="inlineStr">
        <x:is>
          <x:t xml:space="preserve"/>
        </x:is>
      </x:c>
      <x:c r="D6" s="3" t="inlineStr">
        <x:is>
          <x:t xml:space="preserve"/>
        </x:is>
      </x:c>
    </x:row>
    <x:row r="7">
      <x:c r="B7" s="1" t="inlineStr">
        <x:is>
          <x:t xml:space="preserve">One household</x:t>
        </x:is>
      </x:c>
      <x:c r="C7" t="inlineStr">
        <x:is>
          <x:t xml:space="preserve">MY WSQS</x:t>
        </x:is>
      </x:c>
      <x:c r="D7" s="4" t="inlineStr">
        <x:is>
          <x:t xml:space="preserve">Select one response per applicable domain. Read the composite score and coverage status.</x:t>
        </x:is>
      </x:c>
    </x:row>
    <x:row r="8">
      <x:c r="B8" s="1" t="inlineStr">
        <x:is>
          <x:t xml:space="preserve">Multiple households</x:t>
        </x:is>
      </x:c>
      <x:c r="C8" t="inlineStr">
        <x:is>
          <x:t xml:space="preserve">BATCH CORE8</x:t>
        </x:is>
      </x:c>
      <x:c r="D8" s="4" t="inlineStr">
        <x:is>
          <x:t xml:space="preserve">Enter one household per row, up to 100 rows. Use nonidentifying record IDs.</x:t>
        </x:is>
      </x:c>
    </x:row>
    <x:row r="9">
      <x:c r="B9" s="1" t="inlineStr">
        <x:is>
          <x:t xml:space="preserve">Full research survey</x:t>
        </x:is>
      </x:c>
      <x:c r="C9" t="inlineStr">
        <x:is>
          <x:t xml:space="preserve">RESEARCH ENTRY</x:t>
        </x:is>
      </x:c>
      <x:c r="D9" s="4" t="inlineStr">
        <x:is>
          <x:t xml:space="preserve">Enter the 43 core research questions and, if needed, three optional sensitivity variables.</x:t>
        </x:is>
      </x:c>
    </x:row>
    <x:row r="10">
      <x:c r="B10" s="1" t="inlineStr">
        <x:is>
          <x:t xml:space="preserve">Analysis results</x:t>
        </x:is>
      </x:c>
      <x:c r="C10" t="inlineStr">
        <x:is>
          <x:t xml:space="preserve">RESULTS VIEW</x:t>
        </x:is>
      </x:c>
      <x:c r="D10" s="4" t="inlineStr">
        <x:is>
          <x:t xml:space="preserve">Paste aggregate Python results here. Do not paste individual household records.</x:t>
        </x:is>
      </x:c>
    </x:row>
    <x:row r="12" ht="23" customHeight="1">
      <x:c r="B12" s="3" t="inlineStr">
        <x:is>
          <x:t xml:space="preserve">UNDERSTANDING THE SCORE</x:t>
        </x:is>
      </x:c>
      <x:c r="C12" s="3" t="inlineStr">
        <x:is>
          <x:t xml:space="preserve"/>
        </x:is>
      </x:c>
      <x:c r="D12" s="3" t="inlineStr">
        <x:is>
          <x:t xml:space="preserve"/>
        </x:is>
      </x:c>
    </x:row>
    <x:row r="13">
      <x:c r="B13" s="1" t="inlineStr">
        <x:is>
          <x:t xml:space="preserve">Domain scoring</x:t>
        </x:is>
      </x:c>
      <x:c r="C13" t="inlineStr">
        <x:is>
          <x:t xml:space="preserve">0–100</x:t>
        </x:is>
      </x:c>
      <x:c r="D13" s="4" t="inlineStr">
        <x:is>
          <x:t xml:space="preserve">The five ordered responses correspond to domain scores of 100, 75, 50, 25 and 0.</x:t>
        </x:is>
      </x:c>
    </x:row>
    <x:row r="14">
      <x:c r="B14" s="1" t="inlineStr">
        <x:is>
          <x:t xml:space="preserve">CORE-8 composite</x:t>
        </x:is>
      </x:c>
      <x:c r="C14" t="inlineStr">
        <x:is>
          <x:t xml:space="preserve">Equal weights</x:t>
        </x:is>
      </x:c>
      <x:c r="D14" s="4" t="inlineStr">
        <x:is>
          <x:t xml:space="preserve">WSQS averages all valid, applicable domain scores. Higher scores indicate better reported service.</x:t>
        </x:is>
      </x:c>
    </x:row>
    <x:row r="15">
      <x:c r="B15" s="1" t="inlineStr">
        <x:is>
          <x:t xml:space="preserve">Not applicable</x:t>
        </x:is>
      </x:c>
      <x:c r="C15" t="inlineStr">
        <x:is>
          <x:t xml:space="preserve">Customer service</x:t>
        </x:is>
      </x:c>
      <x:c r="D15" s="4" t="inlineStr">
        <x:is>
          <x:t xml:space="preserve">An entirely self-managed water system may have no applicable customer-service domain.</x:t>
        </x:is>
      </x:c>
    </x:row>
    <x:row r="16">
      <x:c r="B16" s="1" t="inlineStr">
        <x:is>
          <x:t xml:space="preserve">Missing responses</x:t>
        </x:is>
      </x:c>
      <x:c r="C16" t="inlineStr">
        <x:is>
          <x:t xml:space="preserve">Coverage flag</x:t>
        </x:is>
      </x:c>
      <x:c r="D16" s="4" t="inlineStr">
        <x:is>
          <x:t xml:space="preserve">Scores with fewer than seven valid domains are flagged LOW COVERAGE, not automatically discarded.</x:t>
        </x:is>
      </x:c>
    </x:row>
    <x:row r="17">
      <x:c r="B17" s="1" t="inlineStr">
        <x:is>
          <x:t xml:space="preserve">Interpretation</x:t>
        </x:is>
      </x:c>
      <x:c r="C17" t="inlineStr">
        <x:is>
          <x:t xml:space="preserve">Reported experience</x:t>
        </x:is>
      </x:c>
      <x:c r="D17" s="4" t="inlineStr">
        <x:is>
          <x:t xml:space="preserve">WSQS does not establish laboratory-confirmed drinking-water safety.</x:t>
        </x:is>
      </x:c>
    </x:row>
    <x:row r="19" ht="23" customHeight="1">
      <x:c r="B19" s="3" t="inlineStr">
        <x:is>
          <x:t xml:space="preserve">RESEARCH DATA AND MODELING</x:t>
        </x:is>
      </x:c>
      <x:c r="C19" s="3" t="inlineStr">
        <x:is>
          <x:t xml:space="preserve"/>
        </x:is>
      </x:c>
      <x:c r="D19" s="3" t="inlineStr">
        <x:is>
          <x:t xml:space="preserve"/>
        </x:is>
      </x:c>
    </x:row>
    <x:row r="20">
      <x:c r="B20" s="1" t="inlineStr">
        <x:is>
          <x:t xml:space="preserve">Original predictors</x:t>
        </x:is>
      </x:c>
      <x:c r="C20" t="inlineStr">
        <x:is>
          <x:t xml:space="preserve">33 features</x:t>
        </x:is>
      </x:c>
      <x:c r="D20" s="4" t="inlineStr">
        <x:is>
          <x:t xml:space="preserve">The original model uses 22 service-support, three context and eight priority predictors.</x:t>
        </x:is>
      </x:c>
    </x:row>
    <x:row r="21">
      <x:c r="B21" s="1" t="inlineStr">
        <x:is>
          <x:t xml:space="preserve">International data</x:t>
        </x:is>
      </x:c>
      <x:c r="C21" t="inlineStr">
        <x:is>
          <x:t xml:space="preserve">Local coding</x:t>
        </x:is>
      </x:c>
      <x:c r="D21" s="4" t="inlineStr">
        <x:is>
          <x:t xml:space="preserve">Currency, volume and provider adaptations require documented local harmonization.</x:t>
        </x:is>
      </x:c>
    </x:row>
    <x:row r="22">
      <x:c r="B22" s="1" t="inlineStr">
        <x:is>
          <x:t xml:space="preserve">New-study models</x:t>
        </x:is>
      </x:c>
      <x:c r="C22" t="inlineStr">
        <x:is>
          <x:t xml:space="preserve">Python toolkit</x:t>
        </x:is>
      </x:c>
      <x:c r="D22" s="4" t="inlineStr">
        <x:is>
          <x:t xml:space="preserve">Fit and evaluate new-data models separately. Historical model performance does not transfer automatically.</x:t>
        </x:is>
      </x:c>
    </x:row>
    <x:row r="24" ht="23" customHeight="1">
      <x:c r="B24" s="3" t="inlineStr">
        <x:is>
          <x:t xml:space="preserve">EXTENSIONS, PRIVACY AND CONSENT</x:t>
        </x:is>
      </x:c>
      <x:c r="C24" s="3" t="inlineStr">
        <x:is>
          <x:t xml:space="preserve"/>
        </x:is>
      </x:c>
      <x:c r="D24" s="3" t="inlineStr">
        <x:is>
          <x:t xml:space="preserve"/>
        </x:is>
      </x:c>
    </x:row>
    <x:row r="25">
      <x:c r="B25" s="1" t="inlineStr">
        <x:is>
          <x:t xml:space="preserve">Additional questions</x:t>
        </x:is>
      </x:c>
      <x:c r="C25" t="inlineStr">
        <x:is>
          <x:t xml:space="preserve">Extensions</x:t>
        </x:is>
      </x:c>
      <x:c r="D25" s="4" t="inlineStr">
        <x:is>
          <x:t xml:space="preserve">Supplementary questions may be added without changing the original CORE-8 score.</x:t>
        </x:is>
      </x:c>
    </x:row>
    <x:row r="26">
      <x:c r="B26" s="1" t="inlineStr">
        <x:is>
          <x:t xml:space="preserve">Privacy</x:t>
        </x:is>
      </x:c>
      <x:c r="C26" t="inlineStr">
        <x:is>
          <x:t xml:space="preserve">Restricted data</x:t>
        </x:is>
      </x:c>
      <x:c r="D26" s="4" t="inlineStr">
        <x:is>
          <x:t xml:space="preserve">Do not publish observed household records, identifiers or confidential research data.</x:t>
        </x:is>
      </x:c>
    </x:row>
    <x:row r="27">
      <x:c r="B27" s="1" t="inlineStr">
        <x:is>
          <x:t xml:space="preserve">Research consent</x:t>
        </x:is>
      </x:c>
      <x:c r="C27" t="inlineStr">
        <x:is>
          <x:t xml:space="preserve">Local responsibility</x:t>
        </x:is>
      </x:c>
      <x:c r="D27" s="4" t="inlineStr">
        <x:is>
          <x:t xml:space="preserve">Administering teams must customize consent and satisfy applicable ethics requirements.</x:t>
        </x:is>
      </x:c>
    </x:row>
    <x:row r="29" ht="23" customHeight="1">
      <x:c r="B29" s="3" t="inlineStr">
        <x:is>
          <x:t xml:space="preserve">CITATION AND DOCUMENTATION</x:t>
        </x:is>
      </x:c>
      <x:c r="C29" s="3" t="inlineStr">
        <x:is>
          <x:t xml:space="preserve"/>
        </x:is>
      </x:c>
      <x:c r="D29" s="3" t="inlineStr">
        <x:is>
          <x:t xml:space="preserve"/>
        </x:is>
      </x:c>
    </x:row>
    <x:row r="30">
      <x:c r="B30" s="1" t="inlineStr">
        <x:is>
          <x:t xml:space="preserve">Citing WSQS</x:t>
        </x:is>
      </x:c>
      <x:c r="C30" t="inlineStr">
        <x:is>
          <x:t xml:space="preserve">Research and software</x:t>
        </x:is>
      </x:c>
      <x:c r="D30" s="4" t="inlineStr">
        <x:is>
          <x:t xml:space="preserve">Cite the original WSQS manuscript and the version of the software used.</x:t>
        </x:is>
      </x:c>
    </x:row>
    <x:row r="31">
      <x:c r="B31" s="1" t="inlineStr">
        <x:is>
          <x:t xml:space="preserve">Question definitions</x:t>
        </x:is>
      </x:c>
      <x:c r="C31" t="inlineStr">
        <x:is>
          <x:t xml:space="preserve">Codebook</x:t>
        </x:is>
      </x:c>
      <x:c r="D31" s="4" t="inlineStr">
        <x:is>
          <x:t xml:space="preserve">Consult the question-ID crosswalk for original wording, adaptations and response coding.</x:t>
        </x:is>
      </x:c>
    </x:row>
    <x:row r="32">
      <x:c r="B32" s="1" t="inlineStr">
        <x:is>
          <x:t xml:space="preserve">Study reproducibility</x:t>
        </x:is>
      </x:c>
      <x:c r="C32" t="inlineStr">
        <x:is>
          <x:t xml:space="preserve">Separate package</x:t>
        </x:is>
      </x:c>
      <x:c r="D32" s="4" t="inlineStr">
        <x:is>
          <x:t xml:space="preserve">The frozen original-study reproducibility package is maintained separately.</x:t>
        </x:is>
      </x:c>
    </x:row>
    <x:row r="34">
      <x:c r="B34" s="1" t="inlineStr">
        <x:is>
          <x:t xml:space="preserve">Instrument status</x:t>
        </x:is>
      </x:c>
      <x:c r="D34" t="inlineStr">
        <x:is>
          <x:t xml:space="preserve">The international adaptation has not been independently validated.</x:t>
        </x:is>
      </x:c>
    </x:row>
    <x:row r="36">
      <x:c r="B36" s="13" t="str">
        <x:v>SUPPLEMENTARY RESEARCH QUESTIONS</x:v>
      </x:c>
      <x:c r="C36" s="13"/>
      <x:c r="D36" s="13"/>
    </x:row>
    <x:row r="37">
      <x:c r="B37" s="13" t="str">
        <x:v>Extension register</x:v>
      </x:c>
      <x:c r="C37" s="11" t="str">
        <x:v>EXTENSION ENTRY</x:v>
      </x:c>
      <x:c r="D37" s="11" t="str">
        <x:v>Add EXT_ question IDs to the optional extension sheet, then export with matching validated JSON definitions.</x:v>
      </x:c>
    </x:row>
    <x:row r="38">
      <x:c r="B38" s="13" t="str">
        <x:v>Research scope</x:v>
      </x:c>
      <x:c r="C38" s="11" t="str">
        <x:v>CORE8 QUESTIONS</x:v>
      </x:c>
      <x:c r="D38" s="11" t="str">
        <x:v>Full CORE-8 wording and permitted response choices are displayed in the questionnaire-reference sheet.</x:v>
      </x:c>
    </x:row>
    <x:row r="39">
      <x:c r="B39" s="13" t="str">
        <x:v>Score coverage</x:v>
      </x:c>
      <x:c r="C39" s="11" t="str">
        <x:v>Quality flag</x:v>
      </x:c>
      <x:c r="D39" s="11" t="str">
        <x:v>One to six answered applicable domains produce LOW COVERAGE scores; Python exports counts and recommends &gt;=7 for forecasting.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28" customWidth="1"/>
    <x:col min="2" max="2" width="35" customWidth="1"/>
    <x:col min="3" max="3" width="35" customWidth="1"/>
    <x:col min="4" max="4" width="35" customWidth="1"/>
    <x:col min="5" max="5" width="35" customWidth="1"/>
    <x:col min="6" max="6" width="35" customWidth="1"/>
    <x:col min="7" max="7" width="35" customWidth="1"/>
    <x:col min="8" max="8" width="35" customWidth="1"/>
    <x:col min="9" max="9" width="60" customWidth="1"/>
  </x:cols>
  <x:sheetData>
    <x:row r="1">
      <x:c r="A1" s="2" t="inlineStr">
        <x:is>
          <x:t xml:space="preserve">CORE-8 | HOUSEHOLD SCORE</x:t>
        </x:is>
      </x:c>
    </x:row>
    <x:row r="2">
      <x:c r="A2" s="10" t="str">
        <x:v>Read the complete question wording and response choices in the CORE8 QUESTIONS sheet.</x:v>
      </x:c>
    </x:row>
    <x:row r="3">
      <x:c r="B3" s="1" t="inlineStr">
        <x:is>
          <x:t xml:space="preserve">Q2.2</x:t>
        </x:is>
      </x:c>
      <x:c r="C3" s="1" t="inlineStr">
        <x:is>
          <x:t xml:space="preserve">Q3.1</x:t>
        </x:is>
      </x:c>
      <x:c r="D3" s="1" t="inlineStr">
        <x:is>
          <x:t xml:space="preserve">Q4.1</x:t>
        </x:is>
      </x:c>
      <x:c r="E3" s="1" t="inlineStr">
        <x:is>
          <x:t xml:space="preserve">Q5.1</x:t>
        </x:is>
      </x:c>
      <x:c r="F3" s="1" t="inlineStr">
        <x:is>
          <x:t xml:space="preserve">Q6.1</x:t>
        </x:is>
      </x:c>
      <x:c r="G3" s="1" t="inlineStr">
        <x:is>
          <x:t xml:space="preserve">Q7.1</x:t>
        </x:is>
      </x:c>
      <x:c r="H3" s="1" t="inlineStr">
        <x:is>
          <x:t xml:space="preserve">Q8.1</x:t>
        </x:is>
      </x:c>
      <x:c r="I3" s="1" t="inlineStr">
        <x:is>
          <x:t xml:space="preserve">Q9.1</x:t>
        </x:is>
      </x:c>
    </x:row>
    <x:row r="4">
      <x:c r="B4" t="inlineStr">
        <x:is>
          <x:t xml:space="preserve">Affordability</x:t>
        </x:is>
      </x:c>
      <x:c r="C4" t="inlineStr">
        <x:is>
          <x:t xml:space="preserve">Access</x:t>
        </x:is>
      </x:c>
      <x:c r="D4" t="inlineStr">
        <x:is>
          <x:t xml:space="preserve">Reliability</x:t>
        </x:is>
      </x:c>
      <x:c r="E4" t="inlineStr">
        <x:is>
          <x:t xml:space="preserve">Efficiency</x:t>
        </x:is>
      </x:c>
      <x:c r="F4" t="inlineStr">
        <x:is>
          <x:t xml:space="preserve">Acceptability</x:t>
        </x:is>
      </x:c>
      <x:c r="G4" t="inlineStr">
        <x:is>
          <x:t xml:space="preserve">Quality</x:t>
        </x:is>
      </x:c>
      <x:c r="H4" t="inlineStr">
        <x:is>
          <x:t xml:space="preserve">Quantity</x:t>
        </x:is>
      </x:c>
      <x:c r="I4" t="inlineStr">
        <x:is>
          <x:t xml:space="preserve">Customer service</x:t>
        </x:is>
      </x:c>
    </x:row>
    <x:row r="5">
      <x:c r="A5" s="1" t="inlineStr">
        <x:is>
          <x:t xml:space="preserve">Select response</x:t>
        </x:is>
      </x:c>
      <x:c r="B5" t="inlineStr">
        <x:is>
          <x:t xml:space="preserve"/>
        </x:is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/>
        </x:is>
      </x:c>
      <x:c r="H5" t="inlineStr">
        <x:is>
          <x:t xml:space="preserve"/>
        </x:is>
      </x:c>
      <x:c r="I5" t="inlineStr">
        <x:is>
          <x:t xml:space="preserve"/>
        </x:is>
      </x:c>
    </x:row>
    <x:row r="6">
      <x:c r="A6" s="1" t="inlineStr">
        <x:is>
          <x:t xml:space="preserve">Domain score</x:t>
        </x:is>
      </x:c>
      <x:c r="B6" t="str">
        <x:f>IF(B5="","",IFERROR((5-MATCH(B5,LOOKUPS!$A$2:$A$6,0))*25,"INVALID"))</x:f>
      </x:c>
      <x:c r="C6" t="str">
        <x:f>IF(C5="","",IFERROR((5-MATCH(C5,LOOKUPS!$B$2:$B$6,0))*25,"INVALID"))</x:f>
      </x:c>
      <x:c r="D6" t="str">
        <x:f>IF(D5="","",IFERROR((5-MATCH(D5,LOOKUPS!$C$2:$C$6,0))*25,"INVALID"))</x:f>
      </x:c>
      <x:c r="E6" t="str">
        <x:f>IF(E5="","",IFERROR((5-MATCH(E5,LOOKUPS!$D$2:$D$6,0))*25,"INVALID"))</x:f>
      </x:c>
      <x:c r="F6" t="str">
        <x:f>IF(F5="","",IFERROR((5-MATCH(F5,LOOKUPS!$E$2:$E$6,0))*25,"INVALID"))</x:f>
      </x:c>
      <x:c r="G6" t="str">
        <x:f>IF(G5="","",IFERROR((5-MATCH(G5,LOOKUPS!$F$2:$F$6,0))*25,"INVALID"))</x:f>
      </x:c>
      <x:c r="H6" t="str">
        <x:f>IF(H5="","",IFERROR((5-MATCH(H5,LOOKUPS!$G$2:$G$6,0))*25,"INVALID"))</x:f>
      </x:c>
      <x:c r="I6" t="str">
        <x:f>IF(I5="","",IF(I5="We have a full water system in-house (not dependent on any provider)","N/A",IFERROR((5-MATCH(I5,LOOKUPS!$H$2:$H$7,0))*25,"INVALID")))</x:f>
      </x:c>
    </x:row>
    <x:row r="8">
      <x:c r="A8" s="1" t="inlineStr">
        <x:is>
          <x:t xml:space="preserve">WSQS (0–100)</x:t>
        </x:is>
      </x:c>
      <x:c r="B8" t="str">
        <x:f>IF(COUNTIF(B6:I6,"INVALID")&gt;0,"",IF(COUNT(B6:I6)=0,"",ROUND(AVERAGE(B6:I6),6)))</x:f>
      </x:c>
    </x:row>
    <x:row r="9">
      <x:c r="A9" s="1" t="inlineStr">
        <x:is>
          <x:t xml:space="preserve">Assessment</x:t>
        </x:is>
      </x:c>
      <x:c r="B9" t="str">
        <x:f>IF(COUNTIF(B6:I6,"INVALID")&gt;0,"INVALID",IF(COUNT(B6:I6)=0,"NOT ENTERED",IF(COUNT(B6:I6)&lt;7,"LOW COVERAGE","VALID")))</x:f>
        <x:v>NOT ENTERED</x:v>
      </x:c>
    </x:row>
  </x:sheetData>
  <x:dataValidations count="8">
    <x:dataValidation type="list" allowBlank="1" showErrorMessage="1" errorTitle="Invalid response" error="Enter a permitted response." sqref="B5">
      <x:formula1>CHOICE_Q2_2</x:formula1>
    </x:dataValidation>
    <x:dataValidation type="list" allowBlank="1" showErrorMessage="1" errorTitle="Invalid response" error="Enter a permitted response." sqref="C5">
      <x:formula1>CHOICE_Q3_1</x:formula1>
    </x:dataValidation>
    <x:dataValidation type="list" allowBlank="1" showErrorMessage="1" errorTitle="Invalid response" error="Enter a permitted response." sqref="D5">
      <x:formula1>CHOICE_Q4_1</x:formula1>
    </x:dataValidation>
    <x:dataValidation type="list" allowBlank="1" showErrorMessage="1" errorTitle="Invalid response" error="Enter a permitted response." sqref="E5">
      <x:formula1>CHOICE_Q5_1</x:formula1>
    </x:dataValidation>
    <x:dataValidation type="list" allowBlank="1" showErrorMessage="1" errorTitle="Invalid response" error="Enter a permitted response." sqref="F5">
      <x:formula1>CHOICE_Q6_1</x:formula1>
    </x:dataValidation>
    <x:dataValidation type="list" allowBlank="1" showErrorMessage="1" errorTitle="Invalid response" error="Enter a permitted response." sqref="G5">
      <x:formula1>CHOICE_Q7_1</x:formula1>
    </x:dataValidation>
    <x:dataValidation type="list" allowBlank="1" showErrorMessage="1" errorTitle="Invalid response" error="Enter a permitted response." sqref="H5">
      <x:formula1>CHOICE_Q8_1</x:formula1>
    </x:dataValidation>
    <x:dataValidation type="list" allowBlank="1" showErrorMessage="1" errorTitle="Invalid response" error="Enter a permitted response." sqref="I5">
      <x:formula1>CHOICE_Q9_1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20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4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</x:cols>
  <x:sheetData>
    <x:row r="1">
      <x:c r="A1" s="2" t="inlineStr">
        <x:is>
          <x:t xml:space="preserve">CORE-8 | MULTIPLE HOUSEHOLD SCORING</x:t>
        </x:is>
      </x:c>
    </x:row>
    <x:row r="2">
      <x:c r="A2" t="inlineStr">
        <x:is>
          <x:t xml:space="preserve">Enter one nonidentifying record per row. Scores and completeness flags are calculated automatically.</x:t>
        </x:is>
      </x:c>
    </x:row>
    <x:row r="4">
      <x:c r="A4" s="3" t="inlineStr">
        <x:is>
          <x:t xml:space="preserve">Record ID</x:t>
        </x:is>
      </x:c>
      <x:c r="B4" s="3" t="inlineStr">
        <x:is>
          <x:t xml:space="preserve">Q2.2</x:t>
        </x:is>
      </x:c>
      <x:c r="C4" s="3" t="inlineStr">
        <x:is>
          <x:t xml:space="preserve">Q3.1</x:t>
        </x:is>
      </x:c>
      <x:c r="D4" s="3" t="inlineStr">
        <x:is>
          <x:t xml:space="preserve">Q4.1</x:t>
        </x:is>
      </x:c>
      <x:c r="E4" s="3" t="inlineStr">
        <x:is>
          <x:t xml:space="preserve">Q5.1</x:t>
        </x:is>
      </x:c>
      <x:c r="F4" s="3" t="inlineStr">
        <x:is>
          <x:t xml:space="preserve">Q6.1</x:t>
        </x:is>
      </x:c>
      <x:c r="G4" s="3" t="inlineStr">
        <x:is>
          <x:t xml:space="preserve">Q7.1</x:t>
        </x:is>
      </x:c>
      <x:c r="H4" s="3" t="inlineStr">
        <x:is>
          <x:t xml:space="preserve">Q8.1</x:t>
        </x:is>
      </x:c>
      <x:c r="I4" s="3" t="inlineStr">
        <x:is>
          <x:t xml:space="preserve">Q9.1</x:t>
        </x:is>
      </x:c>
      <x:c r="J4" s="3" t="inlineStr">
        <x:is>
          <x:t xml:space="preserve">Affordability</x:t>
        </x:is>
      </x:c>
      <x:c r="K4" s="3" t="inlineStr">
        <x:is>
          <x:t xml:space="preserve">Access</x:t>
        </x:is>
      </x:c>
      <x:c r="L4" s="3" t="inlineStr">
        <x:is>
          <x:t xml:space="preserve">Reliability</x:t>
        </x:is>
      </x:c>
      <x:c r="M4" s="3" t="inlineStr">
        <x:is>
          <x:t xml:space="preserve">Efficiency</x:t>
        </x:is>
      </x:c>
      <x:c r="N4" s="3" t="inlineStr">
        <x:is>
          <x:t xml:space="preserve">Acceptability</x:t>
        </x:is>
      </x:c>
      <x:c r="O4" s="3" t="inlineStr">
        <x:is>
          <x:t xml:space="preserve">Quality</x:t>
        </x:is>
      </x:c>
      <x:c r="P4" s="3" t="inlineStr">
        <x:is>
          <x:t xml:space="preserve">Quantity</x:t>
        </x:is>
      </x:c>
      <x:c r="Q4" s="3" t="inlineStr">
        <x:is>
          <x:t xml:space="preserve">Customer service</x:t>
        </x:is>
      </x:c>
      <x:c r="R4" s="3" t="inlineStr">
        <x:is>
          <x:t xml:space="preserve">WSQS (0–100)</x:t>
        </x:is>
      </x:c>
      <x:c r="S4" s="3" t="inlineStr">
        <x:is>
          <x:t xml:space="preserve">Assessment</x:t>
        </x:is>
      </x:c>
    </x:row>
    <x:row r="5">
      <x:c r="J5" t="str">
        <x:f>IF(B5="","",IFERROR((5-MATCH(B5,LOOKUPS!$A$2:$A$6,0))*25,"INVALID"))</x:f>
      </x:c>
      <x:c r="K5" t="str">
        <x:f>IF(C5="","",IFERROR((5-MATCH(C5,LOOKUPS!$B$2:$B$6,0))*25,"INVALID"))</x:f>
      </x:c>
      <x:c r="L5" t="str">
        <x:f>IF(D5="","",IFERROR((5-MATCH(D5,LOOKUPS!$C$2:$C$6,0))*25,"INVALID"))</x:f>
      </x:c>
      <x:c r="M5" t="str">
        <x:f>IF(E5="","",IFERROR((5-MATCH(E5,LOOKUPS!$D$2:$D$6,0))*25,"INVALID"))</x:f>
      </x:c>
      <x:c r="N5" t="str">
        <x:f>IF(F5="","",IFERROR((5-MATCH(F5,LOOKUPS!$E$2:$E$6,0))*25,"INVALID"))</x:f>
      </x:c>
      <x:c r="O5" t="str">
        <x:f>IF(G5="","",IFERROR((5-MATCH(G5,LOOKUPS!$F$2:$F$6,0))*25,"INVALID"))</x:f>
      </x:c>
      <x:c r="P5" t="str">
        <x:f>IF(H5="","",IFERROR((5-MATCH(H5,LOOKUPS!$G$2:$G$6,0))*25,"INVALID"))</x:f>
      </x:c>
      <x:c r="Q5" t="str">
        <x:f>IF(I5="","",IF(I5="We have a full water system in-house (not dependent on any provider)","N/A",IFERROR((5-MATCH(I5,LOOKUPS!$H$2:$H$7,0))*25,"INVALID")))</x:f>
      </x:c>
      <x:c r="R5" t="str">
        <x:f>IF(COUNTIF(J5:Q5,"INVALID")&gt;0,"",IF(COUNT(J5:Q5)=0,"",ROUND(AVERAGE(J5:Q5),6)))</x:f>
      </x:c>
      <x:c r="S5" t="str">
        <x:f>IF(COUNTIF(J5:Q5,"INVALID")&gt;0,"INVALID",IF(COUNT(J5:Q5)=0,"NOT ENTERED",IF(COUNT(J5:Q5)&lt;7,"LOW COVERAGE","VALID")))</x:f>
        <x:v>NOT ENTERED</x:v>
      </x:c>
    </x:row>
    <x:row r="6">
      <x:c r="J6" t="str">
        <x:f>IF(B6="","",IFERROR((5-MATCH(B6,LOOKUPS!$A$2:$A$6,0))*25,"INVALID"))</x:f>
      </x:c>
      <x:c r="K6" t="str">
        <x:f>IF(C6="","",IFERROR((5-MATCH(C6,LOOKUPS!$B$2:$B$6,0))*25,"INVALID"))</x:f>
      </x:c>
      <x:c r="L6" t="str">
        <x:f>IF(D6="","",IFERROR((5-MATCH(D6,LOOKUPS!$C$2:$C$6,0))*25,"INVALID"))</x:f>
      </x:c>
      <x:c r="M6" t="str">
        <x:f>IF(E6="","",IFERROR((5-MATCH(E6,LOOKUPS!$D$2:$D$6,0))*25,"INVALID"))</x:f>
      </x:c>
      <x:c r="N6" t="str">
        <x:f>IF(F6="","",IFERROR((5-MATCH(F6,LOOKUPS!$E$2:$E$6,0))*25,"INVALID"))</x:f>
      </x:c>
      <x:c r="O6" t="str">
        <x:f>IF(G6="","",IFERROR((5-MATCH(G6,LOOKUPS!$F$2:$F$6,0))*25,"INVALID"))</x:f>
      </x:c>
      <x:c r="P6" t="str">
        <x:f>IF(H6="","",IFERROR((5-MATCH(H6,LOOKUPS!$G$2:$G$6,0))*25,"INVALID"))</x:f>
      </x:c>
      <x:c r="Q6" t="str">
        <x:f>IF(I6="","",IF(I6="We have a full water system in-house (not dependent on any provider)","N/A",IFERROR((5-MATCH(I6,LOOKUPS!$H$2:$H$7,0))*25,"INVALID")))</x:f>
      </x:c>
      <x:c r="R6" t="str">
        <x:f>IF(COUNTIF(J6:Q6,"INVALID")&gt;0,"",IF(COUNT(J6:Q6)=0,"",ROUND(AVERAGE(J6:Q6),6)))</x:f>
      </x:c>
      <x:c r="S6" t="str">
        <x:f>IF(COUNTIF(J6:Q6,"INVALID")&gt;0,"INVALID",IF(COUNT(J6:Q6)=0,"NOT ENTERED",IF(COUNT(J6:Q6)&lt;7,"LOW COVERAGE","VALID")))</x:f>
        <x:v>NOT ENTERED</x:v>
      </x:c>
    </x:row>
    <x:row r="7">
      <x:c r="J7" t="str">
        <x:f>IF(B7="","",IFERROR((5-MATCH(B7,LOOKUPS!$A$2:$A$6,0))*25,"INVALID"))</x:f>
      </x:c>
      <x:c r="K7" t="str">
        <x:f>IF(C7="","",IFERROR((5-MATCH(C7,LOOKUPS!$B$2:$B$6,0))*25,"INVALID"))</x:f>
      </x:c>
      <x:c r="L7" t="str">
        <x:f>IF(D7="","",IFERROR((5-MATCH(D7,LOOKUPS!$C$2:$C$6,0))*25,"INVALID"))</x:f>
      </x:c>
      <x:c r="M7" t="str">
        <x:f>IF(E7="","",IFERROR((5-MATCH(E7,LOOKUPS!$D$2:$D$6,0))*25,"INVALID"))</x:f>
      </x:c>
      <x:c r="N7" t="str">
        <x:f>IF(F7="","",IFERROR((5-MATCH(F7,LOOKUPS!$E$2:$E$6,0))*25,"INVALID"))</x:f>
      </x:c>
      <x:c r="O7" t="str">
        <x:f>IF(G7="","",IFERROR((5-MATCH(G7,LOOKUPS!$F$2:$F$6,0))*25,"INVALID"))</x:f>
      </x:c>
      <x:c r="P7" t="str">
        <x:f>IF(H7="","",IFERROR((5-MATCH(H7,LOOKUPS!$G$2:$G$6,0))*25,"INVALID"))</x:f>
      </x:c>
      <x:c r="Q7" t="str">
        <x:f>IF(I7="","",IF(I7="We have a full water system in-house (not dependent on any provider)","N/A",IFERROR((5-MATCH(I7,LOOKUPS!$H$2:$H$7,0))*25,"INVALID")))</x:f>
      </x:c>
      <x:c r="R7" t="str">
        <x:f>IF(COUNTIF(J7:Q7,"INVALID")&gt;0,"",IF(COUNT(J7:Q7)=0,"",ROUND(AVERAGE(J7:Q7),6)))</x:f>
      </x:c>
      <x:c r="S7" t="str">
        <x:f>IF(COUNTIF(J7:Q7,"INVALID")&gt;0,"INVALID",IF(COUNT(J7:Q7)=0,"NOT ENTERED",IF(COUNT(J7:Q7)&lt;7,"LOW COVERAGE","VALID")))</x:f>
        <x:v>NOT ENTERED</x:v>
      </x:c>
    </x:row>
    <x:row r="8">
      <x:c r="J8" t="str">
        <x:f>IF(B8="","",IFERROR((5-MATCH(B8,LOOKUPS!$A$2:$A$6,0))*25,"INVALID"))</x:f>
      </x:c>
      <x:c r="K8" t="str">
        <x:f>IF(C8="","",IFERROR((5-MATCH(C8,LOOKUPS!$B$2:$B$6,0))*25,"INVALID"))</x:f>
      </x:c>
      <x:c r="L8" t="str">
        <x:f>IF(D8="","",IFERROR((5-MATCH(D8,LOOKUPS!$C$2:$C$6,0))*25,"INVALID"))</x:f>
      </x:c>
      <x:c r="M8" t="str">
        <x:f>IF(E8="","",IFERROR((5-MATCH(E8,LOOKUPS!$D$2:$D$6,0))*25,"INVALID"))</x:f>
      </x:c>
      <x:c r="N8" t="str">
        <x:f>IF(F8="","",IFERROR((5-MATCH(F8,LOOKUPS!$E$2:$E$6,0))*25,"INVALID"))</x:f>
      </x:c>
      <x:c r="O8" t="str">
        <x:f>IF(G8="","",IFERROR((5-MATCH(G8,LOOKUPS!$F$2:$F$6,0))*25,"INVALID"))</x:f>
      </x:c>
      <x:c r="P8" t="str">
        <x:f>IF(H8="","",IFERROR((5-MATCH(H8,LOOKUPS!$G$2:$G$6,0))*25,"INVALID"))</x:f>
      </x:c>
      <x:c r="Q8" t="str">
        <x:f>IF(I8="","",IF(I8="We have a full water system in-house (not dependent on any provider)","N/A",IFERROR((5-MATCH(I8,LOOKUPS!$H$2:$H$7,0))*25,"INVALID")))</x:f>
      </x:c>
      <x:c r="R8" t="str">
        <x:f>IF(COUNTIF(J8:Q8,"INVALID")&gt;0,"",IF(COUNT(J8:Q8)=0,"",ROUND(AVERAGE(J8:Q8),6)))</x:f>
      </x:c>
      <x:c r="S8" t="str">
        <x:f>IF(COUNTIF(J8:Q8,"INVALID")&gt;0,"INVALID",IF(COUNT(J8:Q8)=0,"NOT ENTERED",IF(COUNT(J8:Q8)&lt;7,"LOW COVERAGE","VALID")))</x:f>
        <x:v>NOT ENTERED</x:v>
      </x:c>
    </x:row>
    <x:row r="9">
      <x:c r="J9" t="str">
        <x:f>IF(B9="","",IFERROR((5-MATCH(B9,LOOKUPS!$A$2:$A$6,0))*25,"INVALID"))</x:f>
      </x:c>
      <x:c r="K9" t="str">
        <x:f>IF(C9="","",IFERROR((5-MATCH(C9,LOOKUPS!$B$2:$B$6,0))*25,"INVALID"))</x:f>
      </x:c>
      <x:c r="L9" t="str">
        <x:f>IF(D9="","",IFERROR((5-MATCH(D9,LOOKUPS!$C$2:$C$6,0))*25,"INVALID"))</x:f>
      </x:c>
      <x:c r="M9" t="str">
        <x:f>IF(E9="","",IFERROR((5-MATCH(E9,LOOKUPS!$D$2:$D$6,0))*25,"INVALID"))</x:f>
      </x:c>
      <x:c r="N9" t="str">
        <x:f>IF(F9="","",IFERROR((5-MATCH(F9,LOOKUPS!$E$2:$E$6,0))*25,"INVALID"))</x:f>
      </x:c>
      <x:c r="O9" t="str">
        <x:f>IF(G9="","",IFERROR((5-MATCH(G9,LOOKUPS!$F$2:$F$6,0))*25,"INVALID"))</x:f>
      </x:c>
      <x:c r="P9" t="str">
        <x:f>IF(H9="","",IFERROR((5-MATCH(H9,LOOKUPS!$G$2:$G$6,0))*25,"INVALID"))</x:f>
      </x:c>
      <x:c r="Q9" t="str">
        <x:f>IF(I9="","",IF(I9="We have a full water system in-house (not dependent on any provider)","N/A",IFERROR((5-MATCH(I9,LOOKUPS!$H$2:$H$7,0))*25,"INVALID")))</x:f>
      </x:c>
      <x:c r="R9" t="str">
        <x:f>IF(COUNTIF(J9:Q9,"INVALID")&gt;0,"",IF(COUNT(J9:Q9)=0,"",ROUND(AVERAGE(J9:Q9),6)))</x:f>
      </x:c>
      <x:c r="S9" t="str">
        <x:f>IF(COUNTIF(J9:Q9,"INVALID")&gt;0,"INVALID",IF(COUNT(J9:Q9)=0,"NOT ENTERED",IF(COUNT(J9:Q9)&lt;7,"LOW COVERAGE","VALID")))</x:f>
        <x:v>NOT ENTERED</x:v>
      </x:c>
    </x:row>
    <x:row r="10">
      <x:c r="J10" t="str">
        <x:f>IF(B10="","",IFERROR((5-MATCH(B10,LOOKUPS!$A$2:$A$6,0))*25,"INVALID"))</x:f>
      </x:c>
      <x:c r="K10" t="str">
        <x:f>IF(C10="","",IFERROR((5-MATCH(C10,LOOKUPS!$B$2:$B$6,0))*25,"INVALID"))</x:f>
      </x:c>
      <x:c r="L10" t="str">
        <x:f>IF(D10="","",IFERROR((5-MATCH(D10,LOOKUPS!$C$2:$C$6,0))*25,"INVALID"))</x:f>
      </x:c>
      <x:c r="M10" t="str">
        <x:f>IF(E10="","",IFERROR((5-MATCH(E10,LOOKUPS!$D$2:$D$6,0))*25,"INVALID"))</x:f>
      </x:c>
      <x:c r="N10" t="str">
        <x:f>IF(F10="","",IFERROR((5-MATCH(F10,LOOKUPS!$E$2:$E$6,0))*25,"INVALID"))</x:f>
      </x:c>
      <x:c r="O10" t="str">
        <x:f>IF(G10="","",IFERROR((5-MATCH(G10,LOOKUPS!$F$2:$F$6,0))*25,"INVALID"))</x:f>
      </x:c>
      <x:c r="P10" t="str">
        <x:f>IF(H10="","",IFERROR((5-MATCH(H10,LOOKUPS!$G$2:$G$6,0))*25,"INVALID"))</x:f>
      </x:c>
      <x:c r="Q10" t="str">
        <x:f>IF(I10="","",IF(I10="We have a full water system in-house (not dependent on any provider)","N/A",IFERROR((5-MATCH(I10,LOOKUPS!$H$2:$H$7,0))*25,"INVALID")))</x:f>
      </x:c>
      <x:c r="R10" t="str">
        <x:f>IF(COUNTIF(J10:Q10,"INVALID")&gt;0,"",IF(COUNT(J10:Q10)=0,"",ROUND(AVERAGE(J10:Q10),6)))</x:f>
      </x:c>
      <x:c r="S10" t="str">
        <x:f>IF(COUNTIF(J10:Q10,"INVALID")&gt;0,"INVALID",IF(COUNT(J10:Q10)=0,"NOT ENTERED",IF(COUNT(J10:Q10)&lt;7,"LOW COVERAGE","VALID")))</x:f>
        <x:v>NOT ENTERED</x:v>
      </x:c>
    </x:row>
    <x:row r="11">
      <x:c r="J11" t="str">
        <x:f>IF(B11="","",IFERROR((5-MATCH(B11,LOOKUPS!$A$2:$A$6,0))*25,"INVALID"))</x:f>
      </x:c>
      <x:c r="K11" t="str">
        <x:f>IF(C11="","",IFERROR((5-MATCH(C11,LOOKUPS!$B$2:$B$6,0))*25,"INVALID"))</x:f>
      </x:c>
      <x:c r="L11" t="str">
        <x:f>IF(D11="","",IFERROR((5-MATCH(D11,LOOKUPS!$C$2:$C$6,0))*25,"INVALID"))</x:f>
      </x:c>
      <x:c r="M11" t="str">
        <x:f>IF(E11="","",IFERROR((5-MATCH(E11,LOOKUPS!$D$2:$D$6,0))*25,"INVALID"))</x:f>
      </x:c>
      <x:c r="N11" t="str">
        <x:f>IF(F11="","",IFERROR((5-MATCH(F11,LOOKUPS!$E$2:$E$6,0))*25,"INVALID"))</x:f>
      </x:c>
      <x:c r="O11" t="str">
        <x:f>IF(G11="","",IFERROR((5-MATCH(G11,LOOKUPS!$F$2:$F$6,0))*25,"INVALID"))</x:f>
      </x:c>
      <x:c r="P11" t="str">
        <x:f>IF(H11="","",IFERROR((5-MATCH(H11,LOOKUPS!$G$2:$G$6,0))*25,"INVALID"))</x:f>
      </x:c>
      <x:c r="Q11" t="str">
        <x:f>IF(I11="","",IF(I11="We have a full water system in-house (not dependent on any provider)","N/A",IFERROR((5-MATCH(I11,LOOKUPS!$H$2:$H$7,0))*25,"INVALID")))</x:f>
      </x:c>
      <x:c r="R11" t="str">
        <x:f>IF(COUNTIF(J11:Q11,"INVALID")&gt;0,"",IF(COUNT(J11:Q11)=0,"",ROUND(AVERAGE(J11:Q11),6)))</x:f>
      </x:c>
      <x:c r="S11" t="str">
        <x:f>IF(COUNTIF(J11:Q11,"INVALID")&gt;0,"INVALID",IF(COUNT(J11:Q11)=0,"NOT ENTERED",IF(COUNT(J11:Q11)&lt;7,"LOW COVERAGE","VALID")))</x:f>
        <x:v>NOT ENTERED</x:v>
      </x:c>
    </x:row>
    <x:row r="12">
      <x:c r="J12" t="str">
        <x:f>IF(B12="","",IFERROR((5-MATCH(B12,LOOKUPS!$A$2:$A$6,0))*25,"INVALID"))</x:f>
      </x:c>
      <x:c r="K12" t="str">
        <x:f>IF(C12="","",IFERROR((5-MATCH(C12,LOOKUPS!$B$2:$B$6,0))*25,"INVALID"))</x:f>
      </x:c>
      <x:c r="L12" t="str">
        <x:f>IF(D12="","",IFERROR((5-MATCH(D12,LOOKUPS!$C$2:$C$6,0))*25,"INVALID"))</x:f>
      </x:c>
      <x:c r="M12" t="str">
        <x:f>IF(E12="","",IFERROR((5-MATCH(E12,LOOKUPS!$D$2:$D$6,0))*25,"INVALID"))</x:f>
      </x:c>
      <x:c r="N12" t="str">
        <x:f>IF(F12="","",IFERROR((5-MATCH(F12,LOOKUPS!$E$2:$E$6,0))*25,"INVALID"))</x:f>
      </x:c>
      <x:c r="O12" t="str">
        <x:f>IF(G12="","",IFERROR((5-MATCH(G12,LOOKUPS!$F$2:$F$6,0))*25,"INVALID"))</x:f>
      </x:c>
      <x:c r="P12" t="str">
        <x:f>IF(H12="","",IFERROR((5-MATCH(H12,LOOKUPS!$G$2:$G$6,0))*25,"INVALID"))</x:f>
      </x:c>
      <x:c r="Q12" t="str">
        <x:f>IF(I12="","",IF(I12="We have a full water system in-house (not dependent on any provider)","N/A",IFERROR((5-MATCH(I12,LOOKUPS!$H$2:$H$7,0))*25,"INVALID")))</x:f>
      </x:c>
      <x:c r="R12" t="str">
        <x:f>IF(COUNTIF(J12:Q12,"INVALID")&gt;0,"",IF(COUNT(J12:Q12)=0,"",ROUND(AVERAGE(J12:Q12),6)))</x:f>
      </x:c>
      <x:c r="S12" t="str">
        <x:f>IF(COUNTIF(J12:Q12,"INVALID")&gt;0,"INVALID",IF(COUNT(J12:Q12)=0,"NOT ENTERED",IF(COUNT(J12:Q12)&lt;7,"LOW COVERAGE","VALID")))</x:f>
        <x:v>NOT ENTERED</x:v>
      </x:c>
    </x:row>
    <x:row r="13">
      <x:c r="J13" t="str">
        <x:f>IF(B13="","",IFERROR((5-MATCH(B13,LOOKUPS!$A$2:$A$6,0))*25,"INVALID"))</x:f>
      </x:c>
      <x:c r="K13" t="str">
        <x:f>IF(C13="","",IFERROR((5-MATCH(C13,LOOKUPS!$B$2:$B$6,0))*25,"INVALID"))</x:f>
      </x:c>
      <x:c r="L13" t="str">
        <x:f>IF(D13="","",IFERROR((5-MATCH(D13,LOOKUPS!$C$2:$C$6,0))*25,"INVALID"))</x:f>
      </x:c>
      <x:c r="M13" t="str">
        <x:f>IF(E13="","",IFERROR((5-MATCH(E13,LOOKUPS!$D$2:$D$6,0))*25,"INVALID"))</x:f>
      </x:c>
      <x:c r="N13" t="str">
        <x:f>IF(F13="","",IFERROR((5-MATCH(F13,LOOKUPS!$E$2:$E$6,0))*25,"INVALID"))</x:f>
      </x:c>
      <x:c r="O13" t="str">
        <x:f>IF(G13="","",IFERROR((5-MATCH(G13,LOOKUPS!$F$2:$F$6,0))*25,"INVALID"))</x:f>
      </x:c>
      <x:c r="P13" t="str">
        <x:f>IF(H13="","",IFERROR((5-MATCH(H13,LOOKUPS!$G$2:$G$6,0))*25,"INVALID"))</x:f>
      </x:c>
      <x:c r="Q13" t="str">
        <x:f>IF(I13="","",IF(I13="We have a full water system in-house (not dependent on any provider)","N/A",IFERROR((5-MATCH(I13,LOOKUPS!$H$2:$H$7,0))*25,"INVALID")))</x:f>
      </x:c>
      <x:c r="R13" t="str">
        <x:f>IF(COUNTIF(J13:Q13,"INVALID")&gt;0,"",IF(COUNT(J13:Q13)=0,"",ROUND(AVERAGE(J13:Q13),6)))</x:f>
      </x:c>
      <x:c r="S13" t="str">
        <x:f>IF(COUNTIF(J13:Q13,"INVALID")&gt;0,"INVALID",IF(COUNT(J13:Q13)=0,"NOT ENTERED",IF(COUNT(J13:Q13)&lt;7,"LOW COVERAGE","VALID")))</x:f>
        <x:v>NOT ENTERED</x:v>
      </x:c>
    </x:row>
    <x:row r="14">
      <x:c r="J14" t="str">
        <x:f>IF(B14="","",IFERROR((5-MATCH(B14,LOOKUPS!$A$2:$A$6,0))*25,"INVALID"))</x:f>
      </x:c>
      <x:c r="K14" t="str">
        <x:f>IF(C14="","",IFERROR((5-MATCH(C14,LOOKUPS!$B$2:$B$6,0))*25,"INVALID"))</x:f>
      </x:c>
      <x:c r="L14" t="str">
        <x:f>IF(D14="","",IFERROR((5-MATCH(D14,LOOKUPS!$C$2:$C$6,0))*25,"INVALID"))</x:f>
      </x:c>
      <x:c r="M14" t="str">
        <x:f>IF(E14="","",IFERROR((5-MATCH(E14,LOOKUPS!$D$2:$D$6,0))*25,"INVALID"))</x:f>
      </x:c>
      <x:c r="N14" t="str">
        <x:f>IF(F14="","",IFERROR((5-MATCH(F14,LOOKUPS!$E$2:$E$6,0))*25,"INVALID"))</x:f>
      </x:c>
      <x:c r="O14" t="str">
        <x:f>IF(G14="","",IFERROR((5-MATCH(G14,LOOKUPS!$F$2:$F$6,0))*25,"INVALID"))</x:f>
      </x:c>
      <x:c r="P14" t="str">
        <x:f>IF(H14="","",IFERROR((5-MATCH(H14,LOOKUPS!$G$2:$G$6,0))*25,"INVALID"))</x:f>
      </x:c>
      <x:c r="Q14" t="str">
        <x:f>IF(I14="","",IF(I14="We have a full water system in-house (not dependent on any provider)","N/A",IFERROR((5-MATCH(I14,LOOKUPS!$H$2:$H$7,0))*25,"INVALID")))</x:f>
      </x:c>
      <x:c r="R14" t="str">
        <x:f>IF(COUNTIF(J14:Q14,"INVALID")&gt;0,"",IF(COUNT(J14:Q14)=0,"",ROUND(AVERAGE(J14:Q14),6)))</x:f>
      </x:c>
      <x:c r="S14" t="str">
        <x:f>IF(COUNTIF(J14:Q14,"INVALID")&gt;0,"INVALID",IF(COUNT(J14:Q14)=0,"NOT ENTERED",IF(COUNT(J14:Q14)&lt;7,"LOW COVERAGE","VALID")))</x:f>
        <x:v>NOT ENTERED</x:v>
      </x:c>
    </x:row>
    <x:row r="15">
      <x:c r="J15" t="str">
        <x:f>IF(B15="","",IFERROR((5-MATCH(B15,LOOKUPS!$A$2:$A$6,0))*25,"INVALID"))</x:f>
      </x:c>
      <x:c r="K15" t="str">
        <x:f>IF(C15="","",IFERROR((5-MATCH(C15,LOOKUPS!$B$2:$B$6,0))*25,"INVALID"))</x:f>
      </x:c>
      <x:c r="L15" t="str">
        <x:f>IF(D15="","",IFERROR((5-MATCH(D15,LOOKUPS!$C$2:$C$6,0))*25,"INVALID"))</x:f>
      </x:c>
      <x:c r="M15" t="str">
        <x:f>IF(E15="","",IFERROR((5-MATCH(E15,LOOKUPS!$D$2:$D$6,0))*25,"INVALID"))</x:f>
      </x:c>
      <x:c r="N15" t="str">
        <x:f>IF(F15="","",IFERROR((5-MATCH(F15,LOOKUPS!$E$2:$E$6,0))*25,"INVALID"))</x:f>
      </x:c>
      <x:c r="O15" t="str">
        <x:f>IF(G15="","",IFERROR((5-MATCH(G15,LOOKUPS!$F$2:$F$6,0))*25,"INVALID"))</x:f>
      </x:c>
      <x:c r="P15" t="str">
        <x:f>IF(H15="","",IFERROR((5-MATCH(H15,LOOKUPS!$G$2:$G$6,0))*25,"INVALID"))</x:f>
      </x:c>
      <x:c r="Q15" t="str">
        <x:f>IF(I15="","",IF(I15="We have a full water system in-house (not dependent on any provider)","N/A",IFERROR((5-MATCH(I15,LOOKUPS!$H$2:$H$7,0))*25,"INVALID")))</x:f>
      </x:c>
      <x:c r="R15" t="str">
        <x:f>IF(COUNTIF(J15:Q15,"INVALID")&gt;0,"",IF(COUNT(J15:Q15)=0,"",ROUND(AVERAGE(J15:Q15),6)))</x:f>
      </x:c>
      <x:c r="S15" t="str">
        <x:f>IF(COUNTIF(J15:Q15,"INVALID")&gt;0,"INVALID",IF(COUNT(J15:Q15)=0,"NOT ENTERED",IF(COUNT(J15:Q15)&lt;7,"LOW COVERAGE","VALID")))</x:f>
        <x:v>NOT ENTERED</x:v>
      </x:c>
    </x:row>
    <x:row r="16">
      <x:c r="J16" t="str">
        <x:f>IF(B16="","",IFERROR((5-MATCH(B16,LOOKUPS!$A$2:$A$6,0))*25,"INVALID"))</x:f>
      </x:c>
      <x:c r="K16" t="str">
        <x:f>IF(C16="","",IFERROR((5-MATCH(C16,LOOKUPS!$B$2:$B$6,0))*25,"INVALID"))</x:f>
      </x:c>
      <x:c r="L16" t="str">
        <x:f>IF(D16="","",IFERROR((5-MATCH(D16,LOOKUPS!$C$2:$C$6,0))*25,"INVALID"))</x:f>
      </x:c>
      <x:c r="M16" t="str">
        <x:f>IF(E16="","",IFERROR((5-MATCH(E16,LOOKUPS!$D$2:$D$6,0))*25,"INVALID"))</x:f>
      </x:c>
      <x:c r="N16" t="str">
        <x:f>IF(F16="","",IFERROR((5-MATCH(F16,LOOKUPS!$E$2:$E$6,0))*25,"INVALID"))</x:f>
      </x:c>
      <x:c r="O16" t="str">
        <x:f>IF(G16="","",IFERROR((5-MATCH(G16,LOOKUPS!$F$2:$F$6,0))*25,"INVALID"))</x:f>
      </x:c>
      <x:c r="P16" t="str">
        <x:f>IF(H16="","",IFERROR((5-MATCH(H16,LOOKUPS!$G$2:$G$6,0))*25,"INVALID"))</x:f>
      </x:c>
      <x:c r="Q16" t="str">
        <x:f>IF(I16="","",IF(I16="We have a full water system in-house (not dependent on any provider)","N/A",IFERROR((5-MATCH(I16,LOOKUPS!$H$2:$H$7,0))*25,"INVALID")))</x:f>
      </x:c>
      <x:c r="R16" t="str">
        <x:f>IF(COUNTIF(J16:Q16,"INVALID")&gt;0,"",IF(COUNT(J16:Q16)=0,"",ROUND(AVERAGE(J16:Q16),6)))</x:f>
      </x:c>
      <x:c r="S16" t="str">
        <x:f>IF(COUNTIF(J16:Q16,"INVALID")&gt;0,"INVALID",IF(COUNT(J16:Q16)=0,"NOT ENTERED",IF(COUNT(J16:Q16)&lt;7,"LOW COVERAGE","VALID")))</x:f>
        <x:v>NOT ENTERED</x:v>
      </x:c>
    </x:row>
    <x:row r="17">
      <x:c r="J17" t="str">
        <x:f>IF(B17="","",IFERROR((5-MATCH(B17,LOOKUPS!$A$2:$A$6,0))*25,"INVALID"))</x:f>
      </x:c>
      <x:c r="K17" t="str">
        <x:f>IF(C17="","",IFERROR((5-MATCH(C17,LOOKUPS!$B$2:$B$6,0))*25,"INVALID"))</x:f>
      </x:c>
      <x:c r="L17" t="str">
        <x:f>IF(D17="","",IFERROR((5-MATCH(D17,LOOKUPS!$C$2:$C$6,0))*25,"INVALID"))</x:f>
      </x:c>
      <x:c r="M17" t="str">
        <x:f>IF(E17="","",IFERROR((5-MATCH(E17,LOOKUPS!$D$2:$D$6,0))*25,"INVALID"))</x:f>
      </x:c>
      <x:c r="N17" t="str">
        <x:f>IF(F17="","",IFERROR((5-MATCH(F17,LOOKUPS!$E$2:$E$6,0))*25,"INVALID"))</x:f>
      </x:c>
      <x:c r="O17" t="str">
        <x:f>IF(G17="","",IFERROR((5-MATCH(G17,LOOKUPS!$F$2:$F$6,0))*25,"INVALID"))</x:f>
      </x:c>
      <x:c r="P17" t="str">
        <x:f>IF(H17="","",IFERROR((5-MATCH(H17,LOOKUPS!$G$2:$G$6,0))*25,"INVALID"))</x:f>
      </x:c>
      <x:c r="Q17" t="str">
        <x:f>IF(I17="","",IF(I17="We have a full water system in-house (not dependent on any provider)","N/A",IFERROR((5-MATCH(I17,LOOKUPS!$H$2:$H$7,0))*25,"INVALID")))</x:f>
      </x:c>
      <x:c r="R17" t="str">
        <x:f>IF(COUNTIF(J17:Q17,"INVALID")&gt;0,"",IF(COUNT(J17:Q17)=0,"",ROUND(AVERAGE(J17:Q17),6)))</x:f>
      </x:c>
      <x:c r="S17" t="str">
        <x:f>IF(COUNTIF(J17:Q17,"INVALID")&gt;0,"INVALID",IF(COUNT(J17:Q17)=0,"NOT ENTERED",IF(COUNT(J17:Q17)&lt;7,"LOW COVERAGE","VALID")))</x:f>
        <x:v>NOT ENTERED</x:v>
      </x:c>
    </x:row>
    <x:row r="18">
      <x:c r="J18" t="str">
        <x:f>IF(B18="","",IFERROR((5-MATCH(B18,LOOKUPS!$A$2:$A$6,0))*25,"INVALID"))</x:f>
      </x:c>
      <x:c r="K18" t="str">
        <x:f>IF(C18="","",IFERROR((5-MATCH(C18,LOOKUPS!$B$2:$B$6,0))*25,"INVALID"))</x:f>
      </x:c>
      <x:c r="L18" t="str">
        <x:f>IF(D18="","",IFERROR((5-MATCH(D18,LOOKUPS!$C$2:$C$6,0))*25,"INVALID"))</x:f>
      </x:c>
      <x:c r="M18" t="str">
        <x:f>IF(E18="","",IFERROR((5-MATCH(E18,LOOKUPS!$D$2:$D$6,0))*25,"INVALID"))</x:f>
      </x:c>
      <x:c r="N18" t="str">
        <x:f>IF(F18="","",IFERROR((5-MATCH(F18,LOOKUPS!$E$2:$E$6,0))*25,"INVALID"))</x:f>
      </x:c>
      <x:c r="O18" t="str">
        <x:f>IF(G18="","",IFERROR((5-MATCH(G18,LOOKUPS!$F$2:$F$6,0))*25,"INVALID"))</x:f>
      </x:c>
      <x:c r="P18" t="str">
        <x:f>IF(H18="","",IFERROR((5-MATCH(H18,LOOKUPS!$G$2:$G$6,0))*25,"INVALID"))</x:f>
      </x:c>
      <x:c r="Q18" t="str">
        <x:f>IF(I18="","",IF(I18="We have a full water system in-house (not dependent on any provider)","N/A",IFERROR((5-MATCH(I18,LOOKUPS!$H$2:$H$7,0))*25,"INVALID")))</x:f>
      </x:c>
      <x:c r="R18" t="str">
        <x:f>IF(COUNTIF(J18:Q18,"INVALID")&gt;0,"",IF(COUNT(J18:Q18)=0,"",ROUND(AVERAGE(J18:Q18),6)))</x:f>
      </x:c>
      <x:c r="S18" t="str">
        <x:f>IF(COUNTIF(J18:Q18,"INVALID")&gt;0,"INVALID",IF(COUNT(J18:Q18)=0,"NOT ENTERED",IF(COUNT(J18:Q18)&lt;7,"LOW COVERAGE","VALID")))</x:f>
        <x:v>NOT ENTERED</x:v>
      </x:c>
    </x:row>
    <x:row r="19">
      <x:c r="J19" t="str">
        <x:f>IF(B19="","",IFERROR((5-MATCH(B19,LOOKUPS!$A$2:$A$6,0))*25,"INVALID"))</x:f>
      </x:c>
      <x:c r="K19" t="str">
        <x:f>IF(C19="","",IFERROR((5-MATCH(C19,LOOKUPS!$B$2:$B$6,0))*25,"INVALID"))</x:f>
      </x:c>
      <x:c r="L19" t="str">
        <x:f>IF(D19="","",IFERROR((5-MATCH(D19,LOOKUPS!$C$2:$C$6,0))*25,"INVALID"))</x:f>
      </x:c>
      <x:c r="M19" t="str">
        <x:f>IF(E19="","",IFERROR((5-MATCH(E19,LOOKUPS!$D$2:$D$6,0))*25,"INVALID"))</x:f>
      </x:c>
      <x:c r="N19" t="str">
        <x:f>IF(F19="","",IFERROR((5-MATCH(F19,LOOKUPS!$E$2:$E$6,0))*25,"INVALID"))</x:f>
      </x:c>
      <x:c r="O19" t="str">
        <x:f>IF(G19="","",IFERROR((5-MATCH(G19,LOOKUPS!$F$2:$F$6,0))*25,"INVALID"))</x:f>
      </x:c>
      <x:c r="P19" t="str">
        <x:f>IF(H19="","",IFERROR((5-MATCH(H19,LOOKUPS!$G$2:$G$6,0))*25,"INVALID"))</x:f>
      </x:c>
      <x:c r="Q19" t="str">
        <x:f>IF(I19="","",IF(I19="We have a full water system in-house (not dependent on any provider)","N/A",IFERROR((5-MATCH(I19,LOOKUPS!$H$2:$H$7,0))*25,"INVALID")))</x:f>
      </x:c>
      <x:c r="R19" t="str">
        <x:f>IF(COUNTIF(J19:Q19,"INVALID")&gt;0,"",IF(COUNT(J19:Q19)=0,"",ROUND(AVERAGE(J19:Q19),6)))</x:f>
      </x:c>
      <x:c r="S19" t="str">
        <x:f>IF(COUNTIF(J19:Q19,"INVALID")&gt;0,"INVALID",IF(COUNT(J19:Q19)=0,"NOT ENTERED",IF(COUNT(J19:Q19)&lt;7,"LOW COVERAGE","VALID")))</x:f>
        <x:v>NOT ENTERED</x:v>
      </x:c>
    </x:row>
    <x:row r="20">
      <x:c r="J20" t="str">
        <x:f>IF(B20="","",IFERROR((5-MATCH(B20,LOOKUPS!$A$2:$A$6,0))*25,"INVALID"))</x:f>
      </x:c>
      <x:c r="K20" t="str">
        <x:f>IF(C20="","",IFERROR((5-MATCH(C20,LOOKUPS!$B$2:$B$6,0))*25,"INVALID"))</x:f>
      </x:c>
      <x:c r="L20" t="str">
        <x:f>IF(D20="","",IFERROR((5-MATCH(D20,LOOKUPS!$C$2:$C$6,0))*25,"INVALID"))</x:f>
      </x:c>
      <x:c r="M20" t="str">
        <x:f>IF(E20="","",IFERROR((5-MATCH(E20,LOOKUPS!$D$2:$D$6,0))*25,"INVALID"))</x:f>
      </x:c>
      <x:c r="N20" t="str">
        <x:f>IF(F20="","",IFERROR((5-MATCH(F20,LOOKUPS!$E$2:$E$6,0))*25,"INVALID"))</x:f>
      </x:c>
      <x:c r="O20" t="str">
        <x:f>IF(G20="","",IFERROR((5-MATCH(G20,LOOKUPS!$F$2:$F$6,0))*25,"INVALID"))</x:f>
      </x:c>
      <x:c r="P20" t="str">
        <x:f>IF(H20="","",IFERROR((5-MATCH(H20,LOOKUPS!$G$2:$G$6,0))*25,"INVALID"))</x:f>
      </x:c>
      <x:c r="Q20" t="str">
        <x:f>IF(I20="","",IF(I20="We have a full water system in-house (not dependent on any provider)","N/A",IFERROR((5-MATCH(I20,LOOKUPS!$H$2:$H$7,0))*25,"INVALID")))</x:f>
      </x:c>
      <x:c r="R20" t="str">
        <x:f>IF(COUNTIF(J20:Q20,"INVALID")&gt;0,"",IF(COUNT(J20:Q20)=0,"",ROUND(AVERAGE(J20:Q20),6)))</x:f>
      </x:c>
      <x:c r="S20" t="str">
        <x:f>IF(COUNTIF(J20:Q20,"INVALID")&gt;0,"INVALID",IF(COUNT(J20:Q20)=0,"NOT ENTERED",IF(COUNT(J20:Q20)&lt;7,"LOW COVERAGE","VALID")))</x:f>
        <x:v>NOT ENTERED</x:v>
      </x:c>
    </x:row>
    <x:row r="21">
      <x:c r="J21" t="str">
        <x:f>IF(B21="","",IFERROR((5-MATCH(B21,LOOKUPS!$A$2:$A$6,0))*25,"INVALID"))</x:f>
      </x:c>
      <x:c r="K21" t="str">
        <x:f>IF(C21="","",IFERROR((5-MATCH(C21,LOOKUPS!$B$2:$B$6,0))*25,"INVALID"))</x:f>
      </x:c>
      <x:c r="L21" t="str">
        <x:f>IF(D21="","",IFERROR((5-MATCH(D21,LOOKUPS!$C$2:$C$6,0))*25,"INVALID"))</x:f>
      </x:c>
      <x:c r="M21" t="str">
        <x:f>IF(E21="","",IFERROR((5-MATCH(E21,LOOKUPS!$D$2:$D$6,0))*25,"INVALID"))</x:f>
      </x:c>
      <x:c r="N21" t="str">
        <x:f>IF(F21="","",IFERROR((5-MATCH(F21,LOOKUPS!$E$2:$E$6,0))*25,"INVALID"))</x:f>
      </x:c>
      <x:c r="O21" t="str">
        <x:f>IF(G21="","",IFERROR((5-MATCH(G21,LOOKUPS!$F$2:$F$6,0))*25,"INVALID"))</x:f>
      </x:c>
      <x:c r="P21" t="str">
        <x:f>IF(H21="","",IFERROR((5-MATCH(H21,LOOKUPS!$G$2:$G$6,0))*25,"INVALID"))</x:f>
      </x:c>
      <x:c r="Q21" t="str">
        <x:f>IF(I21="","",IF(I21="We have a full water system in-house (not dependent on any provider)","N/A",IFERROR((5-MATCH(I21,LOOKUPS!$H$2:$H$7,0))*25,"INVALID")))</x:f>
      </x:c>
      <x:c r="R21" t="str">
        <x:f>IF(COUNTIF(J21:Q21,"INVALID")&gt;0,"",IF(COUNT(J21:Q21)=0,"",ROUND(AVERAGE(J21:Q21),6)))</x:f>
      </x:c>
      <x:c r="S21" t="str">
        <x:f>IF(COUNTIF(J21:Q21,"INVALID")&gt;0,"INVALID",IF(COUNT(J21:Q21)=0,"NOT ENTERED",IF(COUNT(J21:Q21)&lt;7,"LOW COVERAGE","VALID")))</x:f>
        <x:v>NOT ENTERED</x:v>
      </x:c>
    </x:row>
    <x:row r="22">
      <x:c r="J22" t="str">
        <x:f>IF(B22="","",IFERROR((5-MATCH(B22,LOOKUPS!$A$2:$A$6,0))*25,"INVALID"))</x:f>
      </x:c>
      <x:c r="K22" t="str">
        <x:f>IF(C22="","",IFERROR((5-MATCH(C22,LOOKUPS!$B$2:$B$6,0))*25,"INVALID"))</x:f>
      </x:c>
      <x:c r="L22" t="str">
        <x:f>IF(D22="","",IFERROR((5-MATCH(D22,LOOKUPS!$C$2:$C$6,0))*25,"INVALID"))</x:f>
      </x:c>
      <x:c r="M22" t="str">
        <x:f>IF(E22="","",IFERROR((5-MATCH(E22,LOOKUPS!$D$2:$D$6,0))*25,"INVALID"))</x:f>
      </x:c>
      <x:c r="N22" t="str">
        <x:f>IF(F22="","",IFERROR((5-MATCH(F22,LOOKUPS!$E$2:$E$6,0))*25,"INVALID"))</x:f>
      </x:c>
      <x:c r="O22" t="str">
        <x:f>IF(G22="","",IFERROR((5-MATCH(G22,LOOKUPS!$F$2:$F$6,0))*25,"INVALID"))</x:f>
      </x:c>
      <x:c r="P22" t="str">
        <x:f>IF(H22="","",IFERROR((5-MATCH(H22,LOOKUPS!$G$2:$G$6,0))*25,"INVALID"))</x:f>
      </x:c>
      <x:c r="Q22" t="str">
        <x:f>IF(I22="","",IF(I22="We have a full water system in-house (not dependent on any provider)","N/A",IFERROR((5-MATCH(I22,LOOKUPS!$H$2:$H$7,0))*25,"INVALID")))</x:f>
      </x:c>
      <x:c r="R22" t="str">
        <x:f>IF(COUNTIF(J22:Q22,"INVALID")&gt;0,"",IF(COUNT(J22:Q22)=0,"",ROUND(AVERAGE(J22:Q22),6)))</x:f>
      </x:c>
      <x:c r="S22" t="str">
        <x:f>IF(COUNTIF(J22:Q22,"INVALID")&gt;0,"INVALID",IF(COUNT(J22:Q22)=0,"NOT ENTERED",IF(COUNT(J22:Q22)&lt;7,"LOW COVERAGE","VALID")))</x:f>
        <x:v>NOT ENTERED</x:v>
      </x:c>
    </x:row>
    <x:row r="23">
      <x:c r="J23" t="str">
        <x:f>IF(B23="","",IFERROR((5-MATCH(B23,LOOKUPS!$A$2:$A$6,0))*25,"INVALID"))</x:f>
      </x:c>
      <x:c r="K23" t="str">
        <x:f>IF(C23="","",IFERROR((5-MATCH(C23,LOOKUPS!$B$2:$B$6,0))*25,"INVALID"))</x:f>
      </x:c>
      <x:c r="L23" t="str">
        <x:f>IF(D23="","",IFERROR((5-MATCH(D23,LOOKUPS!$C$2:$C$6,0))*25,"INVALID"))</x:f>
      </x:c>
      <x:c r="M23" t="str">
        <x:f>IF(E23="","",IFERROR((5-MATCH(E23,LOOKUPS!$D$2:$D$6,0))*25,"INVALID"))</x:f>
      </x:c>
      <x:c r="N23" t="str">
        <x:f>IF(F23="","",IFERROR((5-MATCH(F23,LOOKUPS!$E$2:$E$6,0))*25,"INVALID"))</x:f>
      </x:c>
      <x:c r="O23" t="str">
        <x:f>IF(G23="","",IFERROR((5-MATCH(G23,LOOKUPS!$F$2:$F$6,0))*25,"INVALID"))</x:f>
      </x:c>
      <x:c r="P23" t="str">
        <x:f>IF(H23="","",IFERROR((5-MATCH(H23,LOOKUPS!$G$2:$G$6,0))*25,"INVALID"))</x:f>
      </x:c>
      <x:c r="Q23" t="str">
        <x:f>IF(I23="","",IF(I23="We have a full water system in-house (not dependent on any provider)","N/A",IFERROR((5-MATCH(I23,LOOKUPS!$H$2:$H$7,0))*25,"INVALID")))</x:f>
      </x:c>
      <x:c r="R23" t="str">
        <x:f>IF(COUNTIF(J23:Q23,"INVALID")&gt;0,"",IF(COUNT(J23:Q23)=0,"",ROUND(AVERAGE(J23:Q23),6)))</x:f>
      </x:c>
      <x:c r="S23" t="str">
        <x:f>IF(COUNTIF(J23:Q23,"INVALID")&gt;0,"INVALID",IF(COUNT(J23:Q23)=0,"NOT ENTERED",IF(COUNT(J23:Q23)&lt;7,"LOW COVERAGE","VALID")))</x:f>
        <x:v>NOT ENTERED</x:v>
      </x:c>
    </x:row>
    <x:row r="24">
      <x:c r="J24" t="str">
        <x:f>IF(B24="","",IFERROR((5-MATCH(B24,LOOKUPS!$A$2:$A$6,0))*25,"INVALID"))</x:f>
      </x:c>
      <x:c r="K24" t="str">
        <x:f>IF(C24="","",IFERROR((5-MATCH(C24,LOOKUPS!$B$2:$B$6,0))*25,"INVALID"))</x:f>
      </x:c>
      <x:c r="L24" t="str">
        <x:f>IF(D24="","",IFERROR((5-MATCH(D24,LOOKUPS!$C$2:$C$6,0))*25,"INVALID"))</x:f>
      </x:c>
      <x:c r="M24" t="str">
        <x:f>IF(E24="","",IFERROR((5-MATCH(E24,LOOKUPS!$D$2:$D$6,0))*25,"INVALID"))</x:f>
      </x:c>
      <x:c r="N24" t="str">
        <x:f>IF(F24="","",IFERROR((5-MATCH(F24,LOOKUPS!$E$2:$E$6,0))*25,"INVALID"))</x:f>
      </x:c>
      <x:c r="O24" t="str">
        <x:f>IF(G24="","",IFERROR((5-MATCH(G24,LOOKUPS!$F$2:$F$6,0))*25,"INVALID"))</x:f>
      </x:c>
      <x:c r="P24" t="str">
        <x:f>IF(H24="","",IFERROR((5-MATCH(H24,LOOKUPS!$G$2:$G$6,0))*25,"INVALID"))</x:f>
      </x:c>
      <x:c r="Q24" t="str">
        <x:f>IF(I24="","",IF(I24="We have a full water system in-house (not dependent on any provider)","N/A",IFERROR((5-MATCH(I24,LOOKUPS!$H$2:$H$7,0))*25,"INVALID")))</x:f>
      </x:c>
      <x:c r="R24" t="str">
        <x:f>IF(COUNTIF(J24:Q24,"INVALID")&gt;0,"",IF(COUNT(J24:Q24)=0,"",ROUND(AVERAGE(J24:Q24),6)))</x:f>
      </x:c>
      <x:c r="S24" t="str">
        <x:f>IF(COUNTIF(J24:Q24,"INVALID")&gt;0,"INVALID",IF(COUNT(J24:Q24)=0,"NOT ENTERED",IF(COUNT(J24:Q24)&lt;7,"LOW COVERAGE","VALID")))</x:f>
        <x:v>NOT ENTERED</x:v>
      </x:c>
    </x:row>
    <x:row r="25">
      <x:c r="J25" t="str">
        <x:f>IF(B25="","",IFERROR((5-MATCH(B25,LOOKUPS!$A$2:$A$6,0))*25,"INVALID"))</x:f>
      </x:c>
      <x:c r="K25" t="str">
        <x:f>IF(C25="","",IFERROR((5-MATCH(C25,LOOKUPS!$B$2:$B$6,0))*25,"INVALID"))</x:f>
      </x:c>
      <x:c r="L25" t="str">
        <x:f>IF(D25="","",IFERROR((5-MATCH(D25,LOOKUPS!$C$2:$C$6,0))*25,"INVALID"))</x:f>
      </x:c>
      <x:c r="M25" t="str">
        <x:f>IF(E25="","",IFERROR((5-MATCH(E25,LOOKUPS!$D$2:$D$6,0))*25,"INVALID"))</x:f>
      </x:c>
      <x:c r="N25" t="str">
        <x:f>IF(F25="","",IFERROR((5-MATCH(F25,LOOKUPS!$E$2:$E$6,0))*25,"INVALID"))</x:f>
      </x:c>
      <x:c r="O25" t="str">
        <x:f>IF(G25="","",IFERROR((5-MATCH(G25,LOOKUPS!$F$2:$F$6,0))*25,"INVALID"))</x:f>
      </x:c>
      <x:c r="P25" t="str">
        <x:f>IF(H25="","",IFERROR((5-MATCH(H25,LOOKUPS!$G$2:$G$6,0))*25,"INVALID"))</x:f>
      </x:c>
      <x:c r="Q25" t="str">
        <x:f>IF(I25="","",IF(I25="We have a full water system in-house (not dependent on any provider)","N/A",IFERROR((5-MATCH(I25,LOOKUPS!$H$2:$H$7,0))*25,"INVALID")))</x:f>
      </x:c>
      <x:c r="R25" t="str">
        <x:f>IF(COUNTIF(J25:Q25,"INVALID")&gt;0,"",IF(COUNT(J25:Q25)=0,"",ROUND(AVERAGE(J25:Q25),6)))</x:f>
      </x:c>
      <x:c r="S25" t="str">
        <x:f>IF(COUNTIF(J25:Q25,"INVALID")&gt;0,"INVALID",IF(COUNT(J25:Q25)=0,"NOT ENTERED",IF(COUNT(J25:Q25)&lt;7,"LOW COVERAGE","VALID")))</x:f>
        <x:v>NOT ENTERED</x:v>
      </x:c>
    </x:row>
    <x:row r="26">
      <x:c r="J26" t="str">
        <x:f>IF(B26="","",IFERROR((5-MATCH(B26,LOOKUPS!$A$2:$A$6,0))*25,"INVALID"))</x:f>
      </x:c>
      <x:c r="K26" t="str">
        <x:f>IF(C26="","",IFERROR((5-MATCH(C26,LOOKUPS!$B$2:$B$6,0))*25,"INVALID"))</x:f>
      </x:c>
      <x:c r="L26" t="str">
        <x:f>IF(D26="","",IFERROR((5-MATCH(D26,LOOKUPS!$C$2:$C$6,0))*25,"INVALID"))</x:f>
      </x:c>
      <x:c r="M26" t="str">
        <x:f>IF(E26="","",IFERROR((5-MATCH(E26,LOOKUPS!$D$2:$D$6,0))*25,"INVALID"))</x:f>
      </x:c>
      <x:c r="N26" t="str">
        <x:f>IF(F26="","",IFERROR((5-MATCH(F26,LOOKUPS!$E$2:$E$6,0))*25,"INVALID"))</x:f>
      </x:c>
      <x:c r="O26" t="str">
        <x:f>IF(G26="","",IFERROR((5-MATCH(G26,LOOKUPS!$F$2:$F$6,0))*25,"INVALID"))</x:f>
      </x:c>
      <x:c r="P26" t="str">
        <x:f>IF(H26="","",IFERROR((5-MATCH(H26,LOOKUPS!$G$2:$G$6,0))*25,"INVALID"))</x:f>
      </x:c>
      <x:c r="Q26" t="str">
        <x:f>IF(I26="","",IF(I26="We have a full water system in-house (not dependent on any provider)","N/A",IFERROR((5-MATCH(I26,LOOKUPS!$H$2:$H$7,0))*25,"INVALID")))</x:f>
      </x:c>
      <x:c r="R26" t="str">
        <x:f>IF(COUNTIF(J26:Q26,"INVALID")&gt;0,"",IF(COUNT(J26:Q26)=0,"",ROUND(AVERAGE(J26:Q26),6)))</x:f>
      </x:c>
      <x:c r="S26" t="str">
        <x:f>IF(COUNTIF(J26:Q26,"INVALID")&gt;0,"INVALID",IF(COUNT(J26:Q26)=0,"NOT ENTERED",IF(COUNT(J26:Q26)&lt;7,"LOW COVERAGE","VALID")))</x:f>
        <x:v>NOT ENTERED</x:v>
      </x:c>
    </x:row>
    <x:row r="27">
      <x:c r="J27" t="str">
        <x:f>IF(B27="","",IFERROR((5-MATCH(B27,LOOKUPS!$A$2:$A$6,0))*25,"INVALID"))</x:f>
      </x:c>
      <x:c r="K27" t="str">
        <x:f>IF(C27="","",IFERROR((5-MATCH(C27,LOOKUPS!$B$2:$B$6,0))*25,"INVALID"))</x:f>
      </x:c>
      <x:c r="L27" t="str">
        <x:f>IF(D27="","",IFERROR((5-MATCH(D27,LOOKUPS!$C$2:$C$6,0))*25,"INVALID"))</x:f>
      </x:c>
      <x:c r="M27" t="str">
        <x:f>IF(E27="","",IFERROR((5-MATCH(E27,LOOKUPS!$D$2:$D$6,0))*25,"INVALID"))</x:f>
      </x:c>
      <x:c r="N27" t="str">
        <x:f>IF(F27="","",IFERROR((5-MATCH(F27,LOOKUPS!$E$2:$E$6,0))*25,"INVALID"))</x:f>
      </x:c>
      <x:c r="O27" t="str">
        <x:f>IF(G27="","",IFERROR((5-MATCH(G27,LOOKUPS!$F$2:$F$6,0))*25,"INVALID"))</x:f>
      </x:c>
      <x:c r="P27" t="str">
        <x:f>IF(H27="","",IFERROR((5-MATCH(H27,LOOKUPS!$G$2:$G$6,0))*25,"INVALID"))</x:f>
      </x:c>
      <x:c r="Q27" t="str">
        <x:f>IF(I27="","",IF(I27="We have a full water system in-house (not dependent on any provider)","N/A",IFERROR((5-MATCH(I27,LOOKUPS!$H$2:$H$7,0))*25,"INVALID")))</x:f>
      </x:c>
      <x:c r="R27" t="str">
        <x:f>IF(COUNTIF(J27:Q27,"INVALID")&gt;0,"",IF(COUNT(J27:Q27)=0,"",ROUND(AVERAGE(J27:Q27),6)))</x:f>
      </x:c>
      <x:c r="S27" t="str">
        <x:f>IF(COUNTIF(J27:Q27,"INVALID")&gt;0,"INVALID",IF(COUNT(J27:Q27)=0,"NOT ENTERED",IF(COUNT(J27:Q27)&lt;7,"LOW COVERAGE","VALID")))</x:f>
        <x:v>NOT ENTERED</x:v>
      </x:c>
    </x:row>
    <x:row r="28">
      <x:c r="J28" t="str">
        <x:f>IF(B28="","",IFERROR((5-MATCH(B28,LOOKUPS!$A$2:$A$6,0))*25,"INVALID"))</x:f>
      </x:c>
      <x:c r="K28" t="str">
        <x:f>IF(C28="","",IFERROR((5-MATCH(C28,LOOKUPS!$B$2:$B$6,0))*25,"INVALID"))</x:f>
      </x:c>
      <x:c r="L28" t="str">
        <x:f>IF(D28="","",IFERROR((5-MATCH(D28,LOOKUPS!$C$2:$C$6,0))*25,"INVALID"))</x:f>
      </x:c>
      <x:c r="M28" t="str">
        <x:f>IF(E28="","",IFERROR((5-MATCH(E28,LOOKUPS!$D$2:$D$6,0))*25,"INVALID"))</x:f>
      </x:c>
      <x:c r="N28" t="str">
        <x:f>IF(F28="","",IFERROR((5-MATCH(F28,LOOKUPS!$E$2:$E$6,0))*25,"INVALID"))</x:f>
      </x:c>
      <x:c r="O28" t="str">
        <x:f>IF(G28="","",IFERROR((5-MATCH(G28,LOOKUPS!$F$2:$F$6,0))*25,"INVALID"))</x:f>
      </x:c>
      <x:c r="P28" t="str">
        <x:f>IF(H28="","",IFERROR((5-MATCH(H28,LOOKUPS!$G$2:$G$6,0))*25,"INVALID"))</x:f>
      </x:c>
      <x:c r="Q28" t="str">
        <x:f>IF(I28="","",IF(I28="We have a full water system in-house (not dependent on any provider)","N/A",IFERROR((5-MATCH(I28,LOOKUPS!$H$2:$H$7,0))*25,"INVALID")))</x:f>
      </x:c>
      <x:c r="R28" t="str">
        <x:f>IF(COUNTIF(J28:Q28,"INVALID")&gt;0,"",IF(COUNT(J28:Q28)=0,"",ROUND(AVERAGE(J28:Q28),6)))</x:f>
      </x:c>
      <x:c r="S28" t="str">
        <x:f>IF(COUNTIF(J28:Q28,"INVALID")&gt;0,"INVALID",IF(COUNT(J28:Q28)=0,"NOT ENTERED",IF(COUNT(J28:Q28)&lt;7,"LOW COVERAGE","VALID")))</x:f>
        <x:v>NOT ENTERED</x:v>
      </x:c>
    </x:row>
    <x:row r="29">
      <x:c r="J29" t="str">
        <x:f>IF(B29="","",IFERROR((5-MATCH(B29,LOOKUPS!$A$2:$A$6,0))*25,"INVALID"))</x:f>
      </x:c>
      <x:c r="K29" t="str">
        <x:f>IF(C29="","",IFERROR((5-MATCH(C29,LOOKUPS!$B$2:$B$6,0))*25,"INVALID"))</x:f>
      </x:c>
      <x:c r="L29" t="str">
        <x:f>IF(D29="","",IFERROR((5-MATCH(D29,LOOKUPS!$C$2:$C$6,0))*25,"INVALID"))</x:f>
      </x:c>
      <x:c r="M29" t="str">
        <x:f>IF(E29="","",IFERROR((5-MATCH(E29,LOOKUPS!$D$2:$D$6,0))*25,"INVALID"))</x:f>
      </x:c>
      <x:c r="N29" t="str">
        <x:f>IF(F29="","",IFERROR((5-MATCH(F29,LOOKUPS!$E$2:$E$6,0))*25,"INVALID"))</x:f>
      </x:c>
      <x:c r="O29" t="str">
        <x:f>IF(G29="","",IFERROR((5-MATCH(G29,LOOKUPS!$F$2:$F$6,0))*25,"INVALID"))</x:f>
      </x:c>
      <x:c r="P29" t="str">
        <x:f>IF(H29="","",IFERROR((5-MATCH(H29,LOOKUPS!$G$2:$G$6,0))*25,"INVALID"))</x:f>
      </x:c>
      <x:c r="Q29" t="str">
        <x:f>IF(I29="","",IF(I29="We have a full water system in-house (not dependent on any provider)","N/A",IFERROR((5-MATCH(I29,LOOKUPS!$H$2:$H$7,0))*25,"INVALID")))</x:f>
      </x:c>
      <x:c r="R29" t="str">
        <x:f>IF(COUNTIF(J29:Q29,"INVALID")&gt;0,"",IF(COUNT(J29:Q29)=0,"",ROUND(AVERAGE(J29:Q29),6)))</x:f>
      </x:c>
      <x:c r="S29" t="str">
        <x:f>IF(COUNTIF(J29:Q29,"INVALID")&gt;0,"INVALID",IF(COUNT(J29:Q29)=0,"NOT ENTERED",IF(COUNT(J29:Q29)&lt;7,"LOW COVERAGE","VALID")))</x:f>
        <x:v>NOT ENTERED</x:v>
      </x:c>
    </x:row>
    <x:row r="30">
      <x:c r="J30" t="str">
        <x:f>IF(B30="","",IFERROR((5-MATCH(B30,LOOKUPS!$A$2:$A$6,0))*25,"INVALID"))</x:f>
      </x:c>
      <x:c r="K30" t="str">
        <x:f>IF(C30="","",IFERROR((5-MATCH(C30,LOOKUPS!$B$2:$B$6,0))*25,"INVALID"))</x:f>
      </x:c>
      <x:c r="L30" t="str">
        <x:f>IF(D30="","",IFERROR((5-MATCH(D30,LOOKUPS!$C$2:$C$6,0))*25,"INVALID"))</x:f>
      </x:c>
      <x:c r="M30" t="str">
        <x:f>IF(E30="","",IFERROR((5-MATCH(E30,LOOKUPS!$D$2:$D$6,0))*25,"INVALID"))</x:f>
      </x:c>
      <x:c r="N30" t="str">
        <x:f>IF(F30="","",IFERROR((5-MATCH(F30,LOOKUPS!$E$2:$E$6,0))*25,"INVALID"))</x:f>
      </x:c>
      <x:c r="O30" t="str">
        <x:f>IF(G30="","",IFERROR((5-MATCH(G30,LOOKUPS!$F$2:$F$6,0))*25,"INVALID"))</x:f>
      </x:c>
      <x:c r="P30" t="str">
        <x:f>IF(H30="","",IFERROR((5-MATCH(H30,LOOKUPS!$G$2:$G$6,0))*25,"INVALID"))</x:f>
      </x:c>
      <x:c r="Q30" t="str">
        <x:f>IF(I30="","",IF(I30="We have a full water system in-house (not dependent on any provider)","N/A",IFERROR((5-MATCH(I30,LOOKUPS!$H$2:$H$7,0))*25,"INVALID")))</x:f>
      </x:c>
      <x:c r="R30" t="str">
        <x:f>IF(COUNTIF(J30:Q30,"INVALID")&gt;0,"",IF(COUNT(J30:Q30)=0,"",ROUND(AVERAGE(J30:Q30),6)))</x:f>
      </x:c>
      <x:c r="S30" t="str">
        <x:f>IF(COUNTIF(J30:Q30,"INVALID")&gt;0,"INVALID",IF(COUNT(J30:Q30)=0,"NOT ENTERED",IF(COUNT(J30:Q30)&lt;7,"LOW COVERAGE","VALID")))</x:f>
        <x:v>NOT ENTERED</x:v>
      </x:c>
    </x:row>
    <x:row r="31">
      <x:c r="J31" t="str">
        <x:f>IF(B31="","",IFERROR((5-MATCH(B31,LOOKUPS!$A$2:$A$6,0))*25,"INVALID"))</x:f>
      </x:c>
      <x:c r="K31" t="str">
        <x:f>IF(C31="","",IFERROR((5-MATCH(C31,LOOKUPS!$B$2:$B$6,0))*25,"INVALID"))</x:f>
      </x:c>
      <x:c r="L31" t="str">
        <x:f>IF(D31="","",IFERROR((5-MATCH(D31,LOOKUPS!$C$2:$C$6,0))*25,"INVALID"))</x:f>
      </x:c>
      <x:c r="M31" t="str">
        <x:f>IF(E31="","",IFERROR((5-MATCH(E31,LOOKUPS!$D$2:$D$6,0))*25,"INVALID"))</x:f>
      </x:c>
      <x:c r="N31" t="str">
        <x:f>IF(F31="","",IFERROR((5-MATCH(F31,LOOKUPS!$E$2:$E$6,0))*25,"INVALID"))</x:f>
      </x:c>
      <x:c r="O31" t="str">
        <x:f>IF(G31="","",IFERROR((5-MATCH(G31,LOOKUPS!$F$2:$F$6,0))*25,"INVALID"))</x:f>
      </x:c>
      <x:c r="P31" t="str">
        <x:f>IF(H31="","",IFERROR((5-MATCH(H31,LOOKUPS!$G$2:$G$6,0))*25,"INVALID"))</x:f>
      </x:c>
      <x:c r="Q31" t="str">
        <x:f>IF(I31="","",IF(I31="We have a full water system in-house (not dependent on any provider)","N/A",IFERROR((5-MATCH(I31,LOOKUPS!$H$2:$H$7,0))*25,"INVALID")))</x:f>
      </x:c>
      <x:c r="R31" t="str">
        <x:f>IF(COUNTIF(J31:Q31,"INVALID")&gt;0,"",IF(COUNT(J31:Q31)=0,"",ROUND(AVERAGE(J31:Q31),6)))</x:f>
      </x:c>
      <x:c r="S31" t="str">
        <x:f>IF(COUNTIF(J31:Q31,"INVALID")&gt;0,"INVALID",IF(COUNT(J31:Q31)=0,"NOT ENTERED",IF(COUNT(J31:Q31)&lt;7,"LOW COVERAGE","VALID")))</x:f>
        <x:v>NOT ENTERED</x:v>
      </x:c>
    </x:row>
    <x:row r="32">
      <x:c r="J32" t="str">
        <x:f>IF(B32="","",IFERROR((5-MATCH(B32,LOOKUPS!$A$2:$A$6,0))*25,"INVALID"))</x:f>
      </x:c>
      <x:c r="K32" t="str">
        <x:f>IF(C32="","",IFERROR((5-MATCH(C32,LOOKUPS!$B$2:$B$6,0))*25,"INVALID"))</x:f>
      </x:c>
      <x:c r="L32" t="str">
        <x:f>IF(D32="","",IFERROR((5-MATCH(D32,LOOKUPS!$C$2:$C$6,0))*25,"INVALID"))</x:f>
      </x:c>
      <x:c r="M32" t="str">
        <x:f>IF(E32="","",IFERROR((5-MATCH(E32,LOOKUPS!$D$2:$D$6,0))*25,"INVALID"))</x:f>
      </x:c>
      <x:c r="N32" t="str">
        <x:f>IF(F32="","",IFERROR((5-MATCH(F32,LOOKUPS!$E$2:$E$6,0))*25,"INVALID"))</x:f>
      </x:c>
      <x:c r="O32" t="str">
        <x:f>IF(G32="","",IFERROR((5-MATCH(G32,LOOKUPS!$F$2:$F$6,0))*25,"INVALID"))</x:f>
      </x:c>
      <x:c r="P32" t="str">
        <x:f>IF(H32="","",IFERROR((5-MATCH(H32,LOOKUPS!$G$2:$G$6,0))*25,"INVALID"))</x:f>
      </x:c>
      <x:c r="Q32" t="str">
        <x:f>IF(I32="","",IF(I32="We have a full water system in-house (not dependent on any provider)","N/A",IFERROR((5-MATCH(I32,LOOKUPS!$H$2:$H$7,0))*25,"INVALID")))</x:f>
      </x:c>
      <x:c r="R32" t="str">
        <x:f>IF(COUNTIF(J32:Q32,"INVALID")&gt;0,"",IF(COUNT(J32:Q32)=0,"",ROUND(AVERAGE(J32:Q32),6)))</x:f>
      </x:c>
      <x:c r="S32" t="str">
        <x:f>IF(COUNTIF(J32:Q32,"INVALID")&gt;0,"INVALID",IF(COUNT(J32:Q32)=0,"NOT ENTERED",IF(COUNT(J32:Q32)&lt;7,"LOW COVERAGE","VALID")))</x:f>
        <x:v>NOT ENTERED</x:v>
      </x:c>
    </x:row>
    <x:row r="33">
      <x:c r="J33" t="str">
        <x:f>IF(B33="","",IFERROR((5-MATCH(B33,LOOKUPS!$A$2:$A$6,0))*25,"INVALID"))</x:f>
      </x:c>
      <x:c r="K33" t="str">
        <x:f>IF(C33="","",IFERROR((5-MATCH(C33,LOOKUPS!$B$2:$B$6,0))*25,"INVALID"))</x:f>
      </x:c>
      <x:c r="L33" t="str">
        <x:f>IF(D33="","",IFERROR((5-MATCH(D33,LOOKUPS!$C$2:$C$6,0))*25,"INVALID"))</x:f>
      </x:c>
      <x:c r="M33" t="str">
        <x:f>IF(E33="","",IFERROR((5-MATCH(E33,LOOKUPS!$D$2:$D$6,0))*25,"INVALID"))</x:f>
      </x:c>
      <x:c r="N33" t="str">
        <x:f>IF(F33="","",IFERROR((5-MATCH(F33,LOOKUPS!$E$2:$E$6,0))*25,"INVALID"))</x:f>
      </x:c>
      <x:c r="O33" t="str">
        <x:f>IF(G33="","",IFERROR((5-MATCH(G33,LOOKUPS!$F$2:$F$6,0))*25,"INVALID"))</x:f>
      </x:c>
      <x:c r="P33" t="str">
        <x:f>IF(H33="","",IFERROR((5-MATCH(H33,LOOKUPS!$G$2:$G$6,0))*25,"INVALID"))</x:f>
      </x:c>
      <x:c r="Q33" t="str">
        <x:f>IF(I33="","",IF(I33="We have a full water system in-house (not dependent on any provider)","N/A",IFERROR((5-MATCH(I33,LOOKUPS!$H$2:$H$7,0))*25,"INVALID")))</x:f>
      </x:c>
      <x:c r="R33" t="str">
        <x:f>IF(COUNTIF(J33:Q33,"INVALID")&gt;0,"",IF(COUNT(J33:Q33)=0,"",ROUND(AVERAGE(J33:Q33),6)))</x:f>
      </x:c>
      <x:c r="S33" t="str">
        <x:f>IF(COUNTIF(J33:Q33,"INVALID")&gt;0,"INVALID",IF(COUNT(J33:Q33)=0,"NOT ENTERED",IF(COUNT(J33:Q33)&lt;7,"LOW COVERAGE","VALID")))</x:f>
        <x:v>NOT ENTERED</x:v>
      </x:c>
    </x:row>
    <x:row r="34">
      <x:c r="J34" t="str">
        <x:f>IF(B34="","",IFERROR((5-MATCH(B34,LOOKUPS!$A$2:$A$6,0))*25,"INVALID"))</x:f>
      </x:c>
      <x:c r="K34" t="str">
        <x:f>IF(C34="","",IFERROR((5-MATCH(C34,LOOKUPS!$B$2:$B$6,0))*25,"INVALID"))</x:f>
      </x:c>
      <x:c r="L34" t="str">
        <x:f>IF(D34="","",IFERROR((5-MATCH(D34,LOOKUPS!$C$2:$C$6,0))*25,"INVALID"))</x:f>
      </x:c>
      <x:c r="M34" t="str">
        <x:f>IF(E34="","",IFERROR((5-MATCH(E34,LOOKUPS!$D$2:$D$6,0))*25,"INVALID"))</x:f>
      </x:c>
      <x:c r="N34" t="str">
        <x:f>IF(F34="","",IFERROR((5-MATCH(F34,LOOKUPS!$E$2:$E$6,0))*25,"INVALID"))</x:f>
      </x:c>
      <x:c r="O34" t="str">
        <x:f>IF(G34="","",IFERROR((5-MATCH(G34,LOOKUPS!$F$2:$F$6,0))*25,"INVALID"))</x:f>
      </x:c>
      <x:c r="P34" t="str">
        <x:f>IF(H34="","",IFERROR((5-MATCH(H34,LOOKUPS!$G$2:$G$6,0))*25,"INVALID"))</x:f>
      </x:c>
      <x:c r="Q34" t="str">
        <x:f>IF(I34="","",IF(I34="We have a full water system in-house (not dependent on any provider)","N/A",IFERROR((5-MATCH(I34,LOOKUPS!$H$2:$H$7,0))*25,"INVALID")))</x:f>
      </x:c>
      <x:c r="R34" t="str">
        <x:f>IF(COUNTIF(J34:Q34,"INVALID")&gt;0,"",IF(COUNT(J34:Q34)=0,"",ROUND(AVERAGE(J34:Q34),6)))</x:f>
      </x:c>
      <x:c r="S34" t="str">
        <x:f>IF(COUNTIF(J34:Q34,"INVALID")&gt;0,"INVALID",IF(COUNT(J34:Q34)=0,"NOT ENTERED",IF(COUNT(J34:Q34)&lt;7,"LOW COVERAGE","VALID")))</x:f>
        <x:v>NOT ENTERED</x:v>
      </x:c>
    </x:row>
    <x:row r="35">
      <x:c r="J35" t="str">
        <x:f>IF(B35="","",IFERROR((5-MATCH(B35,LOOKUPS!$A$2:$A$6,0))*25,"INVALID"))</x:f>
      </x:c>
      <x:c r="K35" t="str">
        <x:f>IF(C35="","",IFERROR((5-MATCH(C35,LOOKUPS!$B$2:$B$6,0))*25,"INVALID"))</x:f>
      </x:c>
      <x:c r="L35" t="str">
        <x:f>IF(D35="","",IFERROR((5-MATCH(D35,LOOKUPS!$C$2:$C$6,0))*25,"INVALID"))</x:f>
      </x:c>
      <x:c r="M35" t="str">
        <x:f>IF(E35="","",IFERROR((5-MATCH(E35,LOOKUPS!$D$2:$D$6,0))*25,"INVALID"))</x:f>
      </x:c>
      <x:c r="N35" t="str">
        <x:f>IF(F35="","",IFERROR((5-MATCH(F35,LOOKUPS!$E$2:$E$6,0))*25,"INVALID"))</x:f>
      </x:c>
      <x:c r="O35" t="str">
        <x:f>IF(G35="","",IFERROR((5-MATCH(G35,LOOKUPS!$F$2:$F$6,0))*25,"INVALID"))</x:f>
      </x:c>
      <x:c r="P35" t="str">
        <x:f>IF(H35="","",IFERROR((5-MATCH(H35,LOOKUPS!$G$2:$G$6,0))*25,"INVALID"))</x:f>
      </x:c>
      <x:c r="Q35" t="str">
        <x:f>IF(I35="","",IF(I35="We have a full water system in-house (not dependent on any provider)","N/A",IFERROR((5-MATCH(I35,LOOKUPS!$H$2:$H$7,0))*25,"INVALID")))</x:f>
      </x:c>
      <x:c r="R35" t="str">
        <x:f>IF(COUNTIF(J35:Q35,"INVALID")&gt;0,"",IF(COUNT(J35:Q35)=0,"",ROUND(AVERAGE(J35:Q35),6)))</x:f>
      </x:c>
      <x:c r="S35" t="str">
        <x:f>IF(COUNTIF(J35:Q35,"INVALID")&gt;0,"INVALID",IF(COUNT(J35:Q35)=0,"NOT ENTERED",IF(COUNT(J35:Q35)&lt;7,"LOW COVERAGE","VALID")))</x:f>
        <x:v>NOT ENTERED</x:v>
      </x:c>
    </x:row>
    <x:row r="36">
      <x:c r="J36" t="str">
        <x:f>IF(B36="","",IFERROR((5-MATCH(B36,LOOKUPS!$A$2:$A$6,0))*25,"INVALID"))</x:f>
      </x:c>
      <x:c r="K36" t="str">
        <x:f>IF(C36="","",IFERROR((5-MATCH(C36,LOOKUPS!$B$2:$B$6,0))*25,"INVALID"))</x:f>
      </x:c>
      <x:c r="L36" t="str">
        <x:f>IF(D36="","",IFERROR((5-MATCH(D36,LOOKUPS!$C$2:$C$6,0))*25,"INVALID"))</x:f>
      </x:c>
      <x:c r="M36" t="str">
        <x:f>IF(E36="","",IFERROR((5-MATCH(E36,LOOKUPS!$D$2:$D$6,0))*25,"INVALID"))</x:f>
      </x:c>
      <x:c r="N36" t="str">
        <x:f>IF(F36="","",IFERROR((5-MATCH(F36,LOOKUPS!$E$2:$E$6,0))*25,"INVALID"))</x:f>
      </x:c>
      <x:c r="O36" t="str">
        <x:f>IF(G36="","",IFERROR((5-MATCH(G36,LOOKUPS!$F$2:$F$6,0))*25,"INVALID"))</x:f>
      </x:c>
      <x:c r="P36" t="str">
        <x:f>IF(H36="","",IFERROR((5-MATCH(H36,LOOKUPS!$G$2:$G$6,0))*25,"INVALID"))</x:f>
      </x:c>
      <x:c r="Q36" t="str">
        <x:f>IF(I36="","",IF(I36="We have a full water system in-house (not dependent on any provider)","N/A",IFERROR((5-MATCH(I36,LOOKUPS!$H$2:$H$7,0))*25,"INVALID")))</x:f>
      </x:c>
      <x:c r="R36" t="str">
        <x:f>IF(COUNTIF(J36:Q36,"INVALID")&gt;0,"",IF(COUNT(J36:Q36)=0,"",ROUND(AVERAGE(J36:Q36),6)))</x:f>
      </x:c>
      <x:c r="S36" t="str">
        <x:f>IF(COUNTIF(J36:Q36,"INVALID")&gt;0,"INVALID",IF(COUNT(J36:Q36)=0,"NOT ENTERED",IF(COUNT(J36:Q36)&lt;7,"LOW COVERAGE","VALID")))</x:f>
        <x:v>NOT ENTERED</x:v>
      </x:c>
    </x:row>
    <x:row r="37">
      <x:c r="J37" t="str">
        <x:f>IF(B37="","",IFERROR((5-MATCH(B37,LOOKUPS!$A$2:$A$6,0))*25,"INVALID"))</x:f>
      </x:c>
      <x:c r="K37" t="str">
        <x:f>IF(C37="","",IFERROR((5-MATCH(C37,LOOKUPS!$B$2:$B$6,0))*25,"INVALID"))</x:f>
      </x:c>
      <x:c r="L37" t="str">
        <x:f>IF(D37="","",IFERROR((5-MATCH(D37,LOOKUPS!$C$2:$C$6,0))*25,"INVALID"))</x:f>
      </x:c>
      <x:c r="M37" t="str">
        <x:f>IF(E37="","",IFERROR((5-MATCH(E37,LOOKUPS!$D$2:$D$6,0))*25,"INVALID"))</x:f>
      </x:c>
      <x:c r="N37" t="str">
        <x:f>IF(F37="","",IFERROR((5-MATCH(F37,LOOKUPS!$E$2:$E$6,0))*25,"INVALID"))</x:f>
      </x:c>
      <x:c r="O37" t="str">
        <x:f>IF(G37="","",IFERROR((5-MATCH(G37,LOOKUPS!$F$2:$F$6,0))*25,"INVALID"))</x:f>
      </x:c>
      <x:c r="P37" t="str">
        <x:f>IF(H37="","",IFERROR((5-MATCH(H37,LOOKUPS!$G$2:$G$6,0))*25,"INVALID"))</x:f>
      </x:c>
      <x:c r="Q37" t="str">
        <x:f>IF(I37="","",IF(I37="We have a full water system in-house (not dependent on any provider)","N/A",IFERROR((5-MATCH(I37,LOOKUPS!$H$2:$H$7,0))*25,"INVALID")))</x:f>
      </x:c>
      <x:c r="R37" t="str">
        <x:f>IF(COUNTIF(J37:Q37,"INVALID")&gt;0,"",IF(COUNT(J37:Q37)=0,"",ROUND(AVERAGE(J37:Q37),6)))</x:f>
      </x:c>
      <x:c r="S37" t="str">
        <x:f>IF(COUNTIF(J37:Q37,"INVALID")&gt;0,"INVALID",IF(COUNT(J37:Q37)=0,"NOT ENTERED",IF(COUNT(J37:Q37)&lt;7,"LOW COVERAGE","VALID")))</x:f>
        <x:v>NOT ENTERED</x:v>
      </x:c>
    </x:row>
    <x:row r="38">
      <x:c r="J38" t="str">
        <x:f>IF(B38="","",IFERROR((5-MATCH(B38,LOOKUPS!$A$2:$A$6,0))*25,"INVALID"))</x:f>
      </x:c>
      <x:c r="K38" t="str">
        <x:f>IF(C38="","",IFERROR((5-MATCH(C38,LOOKUPS!$B$2:$B$6,0))*25,"INVALID"))</x:f>
      </x:c>
      <x:c r="L38" t="str">
        <x:f>IF(D38="","",IFERROR((5-MATCH(D38,LOOKUPS!$C$2:$C$6,0))*25,"INVALID"))</x:f>
      </x:c>
      <x:c r="M38" t="str">
        <x:f>IF(E38="","",IFERROR((5-MATCH(E38,LOOKUPS!$D$2:$D$6,0))*25,"INVALID"))</x:f>
      </x:c>
      <x:c r="N38" t="str">
        <x:f>IF(F38="","",IFERROR((5-MATCH(F38,LOOKUPS!$E$2:$E$6,0))*25,"INVALID"))</x:f>
      </x:c>
      <x:c r="O38" t="str">
        <x:f>IF(G38="","",IFERROR((5-MATCH(G38,LOOKUPS!$F$2:$F$6,0))*25,"INVALID"))</x:f>
      </x:c>
      <x:c r="P38" t="str">
        <x:f>IF(H38="","",IFERROR((5-MATCH(H38,LOOKUPS!$G$2:$G$6,0))*25,"INVALID"))</x:f>
      </x:c>
      <x:c r="Q38" t="str">
        <x:f>IF(I38="","",IF(I38="We have a full water system in-house (not dependent on any provider)","N/A",IFERROR((5-MATCH(I38,LOOKUPS!$H$2:$H$7,0))*25,"INVALID")))</x:f>
      </x:c>
      <x:c r="R38" t="str">
        <x:f>IF(COUNTIF(J38:Q38,"INVALID")&gt;0,"",IF(COUNT(J38:Q38)=0,"",ROUND(AVERAGE(J38:Q38),6)))</x:f>
      </x:c>
      <x:c r="S38" t="str">
        <x:f>IF(COUNTIF(J38:Q38,"INVALID")&gt;0,"INVALID",IF(COUNT(J38:Q38)=0,"NOT ENTERED",IF(COUNT(J38:Q38)&lt;7,"LOW COVERAGE","VALID")))</x:f>
        <x:v>NOT ENTERED</x:v>
      </x:c>
    </x:row>
    <x:row r="39">
      <x:c r="J39" t="str">
        <x:f>IF(B39="","",IFERROR((5-MATCH(B39,LOOKUPS!$A$2:$A$6,0))*25,"INVALID"))</x:f>
      </x:c>
      <x:c r="K39" t="str">
        <x:f>IF(C39="","",IFERROR((5-MATCH(C39,LOOKUPS!$B$2:$B$6,0))*25,"INVALID"))</x:f>
      </x:c>
      <x:c r="L39" t="str">
        <x:f>IF(D39="","",IFERROR((5-MATCH(D39,LOOKUPS!$C$2:$C$6,0))*25,"INVALID"))</x:f>
      </x:c>
      <x:c r="M39" t="str">
        <x:f>IF(E39="","",IFERROR((5-MATCH(E39,LOOKUPS!$D$2:$D$6,0))*25,"INVALID"))</x:f>
      </x:c>
      <x:c r="N39" t="str">
        <x:f>IF(F39="","",IFERROR((5-MATCH(F39,LOOKUPS!$E$2:$E$6,0))*25,"INVALID"))</x:f>
      </x:c>
      <x:c r="O39" t="str">
        <x:f>IF(G39="","",IFERROR((5-MATCH(G39,LOOKUPS!$F$2:$F$6,0))*25,"INVALID"))</x:f>
      </x:c>
      <x:c r="P39" t="str">
        <x:f>IF(H39="","",IFERROR((5-MATCH(H39,LOOKUPS!$G$2:$G$6,0))*25,"INVALID"))</x:f>
      </x:c>
      <x:c r="Q39" t="str">
        <x:f>IF(I39="","",IF(I39="We have a full water system in-house (not dependent on any provider)","N/A",IFERROR((5-MATCH(I39,LOOKUPS!$H$2:$H$7,0))*25,"INVALID")))</x:f>
      </x:c>
      <x:c r="R39" t="str">
        <x:f>IF(COUNTIF(J39:Q39,"INVALID")&gt;0,"",IF(COUNT(J39:Q39)=0,"",ROUND(AVERAGE(J39:Q39),6)))</x:f>
      </x:c>
      <x:c r="S39" t="str">
        <x:f>IF(COUNTIF(J39:Q39,"INVALID")&gt;0,"INVALID",IF(COUNT(J39:Q39)=0,"NOT ENTERED",IF(COUNT(J39:Q39)&lt;7,"LOW COVERAGE","VALID")))</x:f>
        <x:v>NOT ENTERED</x:v>
      </x:c>
    </x:row>
    <x:row r="40">
      <x:c r="J40" t="str">
        <x:f>IF(B40="","",IFERROR((5-MATCH(B40,LOOKUPS!$A$2:$A$6,0))*25,"INVALID"))</x:f>
      </x:c>
      <x:c r="K40" t="str">
        <x:f>IF(C40="","",IFERROR((5-MATCH(C40,LOOKUPS!$B$2:$B$6,0))*25,"INVALID"))</x:f>
      </x:c>
      <x:c r="L40" t="str">
        <x:f>IF(D40="","",IFERROR((5-MATCH(D40,LOOKUPS!$C$2:$C$6,0))*25,"INVALID"))</x:f>
      </x:c>
      <x:c r="M40" t="str">
        <x:f>IF(E40="","",IFERROR((5-MATCH(E40,LOOKUPS!$D$2:$D$6,0))*25,"INVALID"))</x:f>
      </x:c>
      <x:c r="N40" t="str">
        <x:f>IF(F40="","",IFERROR((5-MATCH(F40,LOOKUPS!$E$2:$E$6,0))*25,"INVALID"))</x:f>
      </x:c>
      <x:c r="O40" t="str">
        <x:f>IF(G40="","",IFERROR((5-MATCH(G40,LOOKUPS!$F$2:$F$6,0))*25,"INVALID"))</x:f>
      </x:c>
      <x:c r="P40" t="str">
        <x:f>IF(H40="","",IFERROR((5-MATCH(H40,LOOKUPS!$G$2:$G$6,0))*25,"INVALID"))</x:f>
      </x:c>
      <x:c r="Q40" t="str">
        <x:f>IF(I40="","",IF(I40="We have a full water system in-house (not dependent on any provider)","N/A",IFERROR((5-MATCH(I40,LOOKUPS!$H$2:$H$7,0))*25,"INVALID")))</x:f>
      </x:c>
      <x:c r="R40" t="str">
        <x:f>IF(COUNTIF(J40:Q40,"INVALID")&gt;0,"",IF(COUNT(J40:Q40)=0,"",ROUND(AVERAGE(J40:Q40),6)))</x:f>
      </x:c>
      <x:c r="S40" t="str">
        <x:f>IF(COUNTIF(J40:Q40,"INVALID")&gt;0,"INVALID",IF(COUNT(J40:Q40)=0,"NOT ENTERED",IF(COUNT(J40:Q40)&lt;7,"LOW COVERAGE","VALID")))</x:f>
        <x:v>NOT ENTERED</x:v>
      </x:c>
    </x:row>
    <x:row r="41">
      <x:c r="J41" t="str">
        <x:f>IF(B41="","",IFERROR((5-MATCH(B41,LOOKUPS!$A$2:$A$6,0))*25,"INVALID"))</x:f>
      </x:c>
      <x:c r="K41" t="str">
        <x:f>IF(C41="","",IFERROR((5-MATCH(C41,LOOKUPS!$B$2:$B$6,0))*25,"INVALID"))</x:f>
      </x:c>
      <x:c r="L41" t="str">
        <x:f>IF(D41="","",IFERROR((5-MATCH(D41,LOOKUPS!$C$2:$C$6,0))*25,"INVALID"))</x:f>
      </x:c>
      <x:c r="M41" t="str">
        <x:f>IF(E41="","",IFERROR((5-MATCH(E41,LOOKUPS!$D$2:$D$6,0))*25,"INVALID"))</x:f>
      </x:c>
      <x:c r="N41" t="str">
        <x:f>IF(F41="","",IFERROR((5-MATCH(F41,LOOKUPS!$E$2:$E$6,0))*25,"INVALID"))</x:f>
      </x:c>
      <x:c r="O41" t="str">
        <x:f>IF(G41="","",IFERROR((5-MATCH(G41,LOOKUPS!$F$2:$F$6,0))*25,"INVALID"))</x:f>
      </x:c>
      <x:c r="P41" t="str">
        <x:f>IF(H41="","",IFERROR((5-MATCH(H41,LOOKUPS!$G$2:$G$6,0))*25,"INVALID"))</x:f>
      </x:c>
      <x:c r="Q41" t="str">
        <x:f>IF(I41="","",IF(I41="We have a full water system in-house (not dependent on any provider)","N/A",IFERROR((5-MATCH(I41,LOOKUPS!$H$2:$H$7,0))*25,"INVALID")))</x:f>
      </x:c>
      <x:c r="R41" t="str">
        <x:f>IF(COUNTIF(J41:Q41,"INVALID")&gt;0,"",IF(COUNT(J41:Q41)=0,"",ROUND(AVERAGE(J41:Q41),6)))</x:f>
      </x:c>
      <x:c r="S41" t="str">
        <x:f>IF(COUNTIF(J41:Q41,"INVALID")&gt;0,"INVALID",IF(COUNT(J41:Q41)=0,"NOT ENTERED",IF(COUNT(J41:Q41)&lt;7,"LOW COVERAGE","VALID")))</x:f>
        <x:v>NOT ENTERED</x:v>
      </x:c>
    </x:row>
    <x:row r="42">
      <x:c r="J42" t="str">
        <x:f>IF(B42="","",IFERROR((5-MATCH(B42,LOOKUPS!$A$2:$A$6,0))*25,"INVALID"))</x:f>
      </x:c>
      <x:c r="K42" t="str">
        <x:f>IF(C42="","",IFERROR((5-MATCH(C42,LOOKUPS!$B$2:$B$6,0))*25,"INVALID"))</x:f>
      </x:c>
      <x:c r="L42" t="str">
        <x:f>IF(D42="","",IFERROR((5-MATCH(D42,LOOKUPS!$C$2:$C$6,0))*25,"INVALID"))</x:f>
      </x:c>
      <x:c r="M42" t="str">
        <x:f>IF(E42="","",IFERROR((5-MATCH(E42,LOOKUPS!$D$2:$D$6,0))*25,"INVALID"))</x:f>
      </x:c>
      <x:c r="N42" t="str">
        <x:f>IF(F42="","",IFERROR((5-MATCH(F42,LOOKUPS!$E$2:$E$6,0))*25,"INVALID"))</x:f>
      </x:c>
      <x:c r="O42" t="str">
        <x:f>IF(G42="","",IFERROR((5-MATCH(G42,LOOKUPS!$F$2:$F$6,0))*25,"INVALID"))</x:f>
      </x:c>
      <x:c r="P42" t="str">
        <x:f>IF(H42="","",IFERROR((5-MATCH(H42,LOOKUPS!$G$2:$G$6,0))*25,"INVALID"))</x:f>
      </x:c>
      <x:c r="Q42" t="str">
        <x:f>IF(I42="","",IF(I42="We have a full water system in-house (not dependent on any provider)","N/A",IFERROR((5-MATCH(I42,LOOKUPS!$H$2:$H$7,0))*25,"INVALID")))</x:f>
      </x:c>
      <x:c r="R42" t="str">
        <x:f>IF(COUNTIF(J42:Q42,"INVALID")&gt;0,"",IF(COUNT(J42:Q42)=0,"",ROUND(AVERAGE(J42:Q42),6)))</x:f>
      </x:c>
      <x:c r="S42" t="str">
        <x:f>IF(COUNTIF(J42:Q42,"INVALID")&gt;0,"INVALID",IF(COUNT(J42:Q42)=0,"NOT ENTERED",IF(COUNT(J42:Q42)&lt;7,"LOW COVERAGE","VALID")))</x:f>
        <x:v>NOT ENTERED</x:v>
      </x:c>
    </x:row>
    <x:row r="43">
      <x:c r="J43" t="str">
        <x:f>IF(B43="","",IFERROR((5-MATCH(B43,LOOKUPS!$A$2:$A$6,0))*25,"INVALID"))</x:f>
      </x:c>
      <x:c r="K43" t="str">
        <x:f>IF(C43="","",IFERROR((5-MATCH(C43,LOOKUPS!$B$2:$B$6,0))*25,"INVALID"))</x:f>
      </x:c>
      <x:c r="L43" t="str">
        <x:f>IF(D43="","",IFERROR((5-MATCH(D43,LOOKUPS!$C$2:$C$6,0))*25,"INVALID"))</x:f>
      </x:c>
      <x:c r="M43" t="str">
        <x:f>IF(E43="","",IFERROR((5-MATCH(E43,LOOKUPS!$D$2:$D$6,0))*25,"INVALID"))</x:f>
      </x:c>
      <x:c r="N43" t="str">
        <x:f>IF(F43="","",IFERROR((5-MATCH(F43,LOOKUPS!$E$2:$E$6,0))*25,"INVALID"))</x:f>
      </x:c>
      <x:c r="O43" t="str">
        <x:f>IF(G43="","",IFERROR((5-MATCH(G43,LOOKUPS!$F$2:$F$6,0))*25,"INVALID"))</x:f>
      </x:c>
      <x:c r="P43" t="str">
        <x:f>IF(H43="","",IFERROR((5-MATCH(H43,LOOKUPS!$G$2:$G$6,0))*25,"INVALID"))</x:f>
      </x:c>
      <x:c r="Q43" t="str">
        <x:f>IF(I43="","",IF(I43="We have a full water system in-house (not dependent on any provider)","N/A",IFERROR((5-MATCH(I43,LOOKUPS!$H$2:$H$7,0))*25,"INVALID")))</x:f>
      </x:c>
      <x:c r="R43" t="str">
        <x:f>IF(COUNTIF(J43:Q43,"INVALID")&gt;0,"",IF(COUNT(J43:Q43)=0,"",ROUND(AVERAGE(J43:Q43),6)))</x:f>
      </x:c>
      <x:c r="S43" t="str">
        <x:f>IF(COUNTIF(J43:Q43,"INVALID")&gt;0,"INVALID",IF(COUNT(J43:Q43)=0,"NOT ENTERED",IF(COUNT(J43:Q43)&lt;7,"LOW COVERAGE","VALID")))</x:f>
        <x:v>NOT ENTERED</x:v>
      </x:c>
    </x:row>
    <x:row r="44">
      <x:c r="J44" t="str">
        <x:f>IF(B44="","",IFERROR((5-MATCH(B44,LOOKUPS!$A$2:$A$6,0))*25,"INVALID"))</x:f>
      </x:c>
      <x:c r="K44" t="str">
        <x:f>IF(C44="","",IFERROR((5-MATCH(C44,LOOKUPS!$B$2:$B$6,0))*25,"INVALID"))</x:f>
      </x:c>
      <x:c r="L44" t="str">
        <x:f>IF(D44="","",IFERROR((5-MATCH(D44,LOOKUPS!$C$2:$C$6,0))*25,"INVALID"))</x:f>
      </x:c>
      <x:c r="M44" t="str">
        <x:f>IF(E44="","",IFERROR((5-MATCH(E44,LOOKUPS!$D$2:$D$6,0))*25,"INVALID"))</x:f>
      </x:c>
      <x:c r="N44" t="str">
        <x:f>IF(F44="","",IFERROR((5-MATCH(F44,LOOKUPS!$E$2:$E$6,0))*25,"INVALID"))</x:f>
      </x:c>
      <x:c r="O44" t="str">
        <x:f>IF(G44="","",IFERROR((5-MATCH(G44,LOOKUPS!$F$2:$F$6,0))*25,"INVALID"))</x:f>
      </x:c>
      <x:c r="P44" t="str">
        <x:f>IF(H44="","",IFERROR((5-MATCH(H44,LOOKUPS!$G$2:$G$6,0))*25,"INVALID"))</x:f>
      </x:c>
      <x:c r="Q44" t="str">
        <x:f>IF(I44="","",IF(I44="We have a full water system in-house (not dependent on any provider)","N/A",IFERROR((5-MATCH(I44,LOOKUPS!$H$2:$H$7,0))*25,"INVALID")))</x:f>
      </x:c>
      <x:c r="R44" t="str">
        <x:f>IF(COUNTIF(J44:Q44,"INVALID")&gt;0,"",IF(COUNT(J44:Q44)=0,"",ROUND(AVERAGE(J44:Q44),6)))</x:f>
      </x:c>
      <x:c r="S44" t="str">
        <x:f>IF(COUNTIF(J44:Q44,"INVALID")&gt;0,"INVALID",IF(COUNT(J44:Q44)=0,"NOT ENTERED",IF(COUNT(J44:Q44)&lt;7,"LOW COVERAGE","VALID")))</x:f>
        <x:v>NOT ENTERED</x:v>
      </x:c>
    </x:row>
    <x:row r="45">
      <x:c r="J45" t="str">
        <x:f>IF(B45="","",IFERROR((5-MATCH(B45,LOOKUPS!$A$2:$A$6,0))*25,"INVALID"))</x:f>
      </x:c>
      <x:c r="K45" t="str">
        <x:f>IF(C45="","",IFERROR((5-MATCH(C45,LOOKUPS!$B$2:$B$6,0))*25,"INVALID"))</x:f>
      </x:c>
      <x:c r="L45" t="str">
        <x:f>IF(D45="","",IFERROR((5-MATCH(D45,LOOKUPS!$C$2:$C$6,0))*25,"INVALID"))</x:f>
      </x:c>
      <x:c r="M45" t="str">
        <x:f>IF(E45="","",IFERROR((5-MATCH(E45,LOOKUPS!$D$2:$D$6,0))*25,"INVALID"))</x:f>
      </x:c>
      <x:c r="N45" t="str">
        <x:f>IF(F45="","",IFERROR((5-MATCH(F45,LOOKUPS!$E$2:$E$6,0))*25,"INVALID"))</x:f>
      </x:c>
      <x:c r="O45" t="str">
        <x:f>IF(G45="","",IFERROR((5-MATCH(G45,LOOKUPS!$F$2:$F$6,0))*25,"INVALID"))</x:f>
      </x:c>
      <x:c r="P45" t="str">
        <x:f>IF(H45="","",IFERROR((5-MATCH(H45,LOOKUPS!$G$2:$G$6,0))*25,"INVALID"))</x:f>
      </x:c>
      <x:c r="Q45" t="str">
        <x:f>IF(I45="","",IF(I45="We have a full water system in-house (not dependent on any provider)","N/A",IFERROR((5-MATCH(I45,LOOKUPS!$H$2:$H$7,0))*25,"INVALID")))</x:f>
      </x:c>
      <x:c r="R45" t="str">
        <x:f>IF(COUNTIF(J45:Q45,"INVALID")&gt;0,"",IF(COUNT(J45:Q45)=0,"",ROUND(AVERAGE(J45:Q45),6)))</x:f>
      </x:c>
      <x:c r="S45" t="str">
        <x:f>IF(COUNTIF(J45:Q45,"INVALID")&gt;0,"INVALID",IF(COUNT(J45:Q45)=0,"NOT ENTERED",IF(COUNT(J45:Q45)&lt;7,"LOW COVERAGE","VALID")))</x:f>
        <x:v>NOT ENTERED</x:v>
      </x:c>
    </x:row>
    <x:row r="46">
      <x:c r="J46" t="str">
        <x:f>IF(B46="","",IFERROR((5-MATCH(B46,LOOKUPS!$A$2:$A$6,0))*25,"INVALID"))</x:f>
      </x:c>
      <x:c r="K46" t="str">
        <x:f>IF(C46="","",IFERROR((5-MATCH(C46,LOOKUPS!$B$2:$B$6,0))*25,"INVALID"))</x:f>
      </x:c>
      <x:c r="L46" t="str">
        <x:f>IF(D46="","",IFERROR((5-MATCH(D46,LOOKUPS!$C$2:$C$6,0))*25,"INVALID"))</x:f>
      </x:c>
      <x:c r="M46" t="str">
        <x:f>IF(E46="","",IFERROR((5-MATCH(E46,LOOKUPS!$D$2:$D$6,0))*25,"INVALID"))</x:f>
      </x:c>
      <x:c r="N46" t="str">
        <x:f>IF(F46="","",IFERROR((5-MATCH(F46,LOOKUPS!$E$2:$E$6,0))*25,"INVALID"))</x:f>
      </x:c>
      <x:c r="O46" t="str">
        <x:f>IF(G46="","",IFERROR((5-MATCH(G46,LOOKUPS!$F$2:$F$6,0))*25,"INVALID"))</x:f>
      </x:c>
      <x:c r="P46" t="str">
        <x:f>IF(H46="","",IFERROR((5-MATCH(H46,LOOKUPS!$G$2:$G$6,0))*25,"INVALID"))</x:f>
      </x:c>
      <x:c r="Q46" t="str">
        <x:f>IF(I46="","",IF(I46="We have a full water system in-house (not dependent on any provider)","N/A",IFERROR((5-MATCH(I46,LOOKUPS!$H$2:$H$7,0))*25,"INVALID")))</x:f>
      </x:c>
      <x:c r="R46" t="str">
        <x:f>IF(COUNTIF(J46:Q46,"INVALID")&gt;0,"",IF(COUNT(J46:Q46)=0,"",ROUND(AVERAGE(J46:Q46),6)))</x:f>
      </x:c>
      <x:c r="S46" t="str">
        <x:f>IF(COUNTIF(J46:Q46,"INVALID")&gt;0,"INVALID",IF(COUNT(J46:Q46)=0,"NOT ENTERED",IF(COUNT(J46:Q46)&lt;7,"LOW COVERAGE","VALID")))</x:f>
        <x:v>NOT ENTERED</x:v>
      </x:c>
    </x:row>
    <x:row r="47">
      <x:c r="J47" t="str">
        <x:f>IF(B47="","",IFERROR((5-MATCH(B47,LOOKUPS!$A$2:$A$6,0))*25,"INVALID"))</x:f>
      </x:c>
      <x:c r="K47" t="str">
        <x:f>IF(C47="","",IFERROR((5-MATCH(C47,LOOKUPS!$B$2:$B$6,0))*25,"INVALID"))</x:f>
      </x:c>
      <x:c r="L47" t="str">
        <x:f>IF(D47="","",IFERROR((5-MATCH(D47,LOOKUPS!$C$2:$C$6,0))*25,"INVALID"))</x:f>
      </x:c>
      <x:c r="M47" t="str">
        <x:f>IF(E47="","",IFERROR((5-MATCH(E47,LOOKUPS!$D$2:$D$6,0))*25,"INVALID"))</x:f>
      </x:c>
      <x:c r="N47" t="str">
        <x:f>IF(F47="","",IFERROR((5-MATCH(F47,LOOKUPS!$E$2:$E$6,0))*25,"INVALID"))</x:f>
      </x:c>
      <x:c r="O47" t="str">
        <x:f>IF(G47="","",IFERROR((5-MATCH(G47,LOOKUPS!$F$2:$F$6,0))*25,"INVALID"))</x:f>
      </x:c>
      <x:c r="P47" t="str">
        <x:f>IF(H47="","",IFERROR((5-MATCH(H47,LOOKUPS!$G$2:$G$6,0))*25,"INVALID"))</x:f>
      </x:c>
      <x:c r="Q47" t="str">
        <x:f>IF(I47="","",IF(I47="We have a full water system in-house (not dependent on any provider)","N/A",IFERROR((5-MATCH(I47,LOOKUPS!$H$2:$H$7,0))*25,"INVALID")))</x:f>
      </x:c>
      <x:c r="R47" t="str">
        <x:f>IF(COUNTIF(J47:Q47,"INVALID")&gt;0,"",IF(COUNT(J47:Q47)=0,"",ROUND(AVERAGE(J47:Q47),6)))</x:f>
      </x:c>
      <x:c r="S47" t="str">
        <x:f>IF(COUNTIF(J47:Q47,"INVALID")&gt;0,"INVALID",IF(COUNT(J47:Q47)=0,"NOT ENTERED",IF(COUNT(J47:Q47)&lt;7,"LOW COVERAGE","VALID")))</x:f>
        <x:v>NOT ENTERED</x:v>
      </x:c>
    </x:row>
    <x:row r="48">
      <x:c r="J48" t="str">
        <x:f>IF(B48="","",IFERROR((5-MATCH(B48,LOOKUPS!$A$2:$A$6,0))*25,"INVALID"))</x:f>
      </x:c>
      <x:c r="K48" t="str">
        <x:f>IF(C48="","",IFERROR((5-MATCH(C48,LOOKUPS!$B$2:$B$6,0))*25,"INVALID"))</x:f>
      </x:c>
      <x:c r="L48" t="str">
        <x:f>IF(D48="","",IFERROR((5-MATCH(D48,LOOKUPS!$C$2:$C$6,0))*25,"INVALID"))</x:f>
      </x:c>
      <x:c r="M48" t="str">
        <x:f>IF(E48="","",IFERROR((5-MATCH(E48,LOOKUPS!$D$2:$D$6,0))*25,"INVALID"))</x:f>
      </x:c>
      <x:c r="N48" t="str">
        <x:f>IF(F48="","",IFERROR((5-MATCH(F48,LOOKUPS!$E$2:$E$6,0))*25,"INVALID"))</x:f>
      </x:c>
      <x:c r="O48" t="str">
        <x:f>IF(G48="","",IFERROR((5-MATCH(G48,LOOKUPS!$F$2:$F$6,0))*25,"INVALID"))</x:f>
      </x:c>
      <x:c r="P48" t="str">
        <x:f>IF(H48="","",IFERROR((5-MATCH(H48,LOOKUPS!$G$2:$G$6,0))*25,"INVALID"))</x:f>
      </x:c>
      <x:c r="Q48" t="str">
        <x:f>IF(I48="","",IF(I48="We have a full water system in-house (not dependent on any provider)","N/A",IFERROR((5-MATCH(I48,LOOKUPS!$H$2:$H$7,0))*25,"INVALID")))</x:f>
      </x:c>
      <x:c r="R48" t="str">
        <x:f>IF(COUNTIF(J48:Q48,"INVALID")&gt;0,"",IF(COUNT(J48:Q48)=0,"",ROUND(AVERAGE(J48:Q48),6)))</x:f>
      </x:c>
      <x:c r="S48" t="str">
        <x:f>IF(COUNTIF(J48:Q48,"INVALID")&gt;0,"INVALID",IF(COUNT(J48:Q48)=0,"NOT ENTERED",IF(COUNT(J48:Q48)&lt;7,"LOW COVERAGE","VALID")))</x:f>
        <x:v>NOT ENTERED</x:v>
      </x:c>
    </x:row>
    <x:row r="49">
      <x:c r="J49" t="str">
        <x:f>IF(B49="","",IFERROR((5-MATCH(B49,LOOKUPS!$A$2:$A$6,0))*25,"INVALID"))</x:f>
      </x:c>
      <x:c r="K49" t="str">
        <x:f>IF(C49="","",IFERROR((5-MATCH(C49,LOOKUPS!$B$2:$B$6,0))*25,"INVALID"))</x:f>
      </x:c>
      <x:c r="L49" t="str">
        <x:f>IF(D49="","",IFERROR((5-MATCH(D49,LOOKUPS!$C$2:$C$6,0))*25,"INVALID"))</x:f>
      </x:c>
      <x:c r="M49" t="str">
        <x:f>IF(E49="","",IFERROR((5-MATCH(E49,LOOKUPS!$D$2:$D$6,0))*25,"INVALID"))</x:f>
      </x:c>
      <x:c r="N49" t="str">
        <x:f>IF(F49="","",IFERROR((5-MATCH(F49,LOOKUPS!$E$2:$E$6,0))*25,"INVALID"))</x:f>
      </x:c>
      <x:c r="O49" t="str">
        <x:f>IF(G49="","",IFERROR((5-MATCH(G49,LOOKUPS!$F$2:$F$6,0))*25,"INVALID"))</x:f>
      </x:c>
      <x:c r="P49" t="str">
        <x:f>IF(H49="","",IFERROR((5-MATCH(H49,LOOKUPS!$G$2:$G$6,0))*25,"INVALID"))</x:f>
      </x:c>
      <x:c r="Q49" t="str">
        <x:f>IF(I49="","",IF(I49="We have a full water system in-house (not dependent on any provider)","N/A",IFERROR((5-MATCH(I49,LOOKUPS!$H$2:$H$7,0))*25,"INVALID")))</x:f>
      </x:c>
      <x:c r="R49" t="str">
        <x:f>IF(COUNTIF(J49:Q49,"INVALID")&gt;0,"",IF(COUNT(J49:Q49)=0,"",ROUND(AVERAGE(J49:Q49),6)))</x:f>
      </x:c>
      <x:c r="S49" t="str">
        <x:f>IF(COUNTIF(J49:Q49,"INVALID")&gt;0,"INVALID",IF(COUNT(J49:Q49)=0,"NOT ENTERED",IF(COUNT(J49:Q49)&lt;7,"LOW COVERAGE","VALID")))</x:f>
        <x:v>NOT ENTERED</x:v>
      </x:c>
    </x:row>
    <x:row r="50">
      <x:c r="J50" t="str">
        <x:f>IF(B50="","",IFERROR((5-MATCH(B50,LOOKUPS!$A$2:$A$6,0))*25,"INVALID"))</x:f>
      </x:c>
      <x:c r="K50" t="str">
        <x:f>IF(C50="","",IFERROR((5-MATCH(C50,LOOKUPS!$B$2:$B$6,0))*25,"INVALID"))</x:f>
      </x:c>
      <x:c r="L50" t="str">
        <x:f>IF(D50="","",IFERROR((5-MATCH(D50,LOOKUPS!$C$2:$C$6,0))*25,"INVALID"))</x:f>
      </x:c>
      <x:c r="M50" t="str">
        <x:f>IF(E50="","",IFERROR((5-MATCH(E50,LOOKUPS!$D$2:$D$6,0))*25,"INVALID"))</x:f>
      </x:c>
      <x:c r="N50" t="str">
        <x:f>IF(F50="","",IFERROR((5-MATCH(F50,LOOKUPS!$E$2:$E$6,0))*25,"INVALID"))</x:f>
      </x:c>
      <x:c r="O50" t="str">
        <x:f>IF(G50="","",IFERROR((5-MATCH(G50,LOOKUPS!$F$2:$F$6,0))*25,"INVALID"))</x:f>
      </x:c>
      <x:c r="P50" t="str">
        <x:f>IF(H50="","",IFERROR((5-MATCH(H50,LOOKUPS!$G$2:$G$6,0))*25,"INVALID"))</x:f>
      </x:c>
      <x:c r="Q50" t="str">
        <x:f>IF(I50="","",IF(I50="We have a full water system in-house (not dependent on any provider)","N/A",IFERROR((5-MATCH(I50,LOOKUPS!$H$2:$H$7,0))*25,"INVALID")))</x:f>
      </x:c>
      <x:c r="R50" t="str">
        <x:f>IF(COUNTIF(J50:Q50,"INVALID")&gt;0,"",IF(COUNT(J50:Q50)=0,"",ROUND(AVERAGE(J50:Q50),6)))</x:f>
      </x:c>
      <x:c r="S50" t="str">
        <x:f>IF(COUNTIF(J50:Q50,"INVALID")&gt;0,"INVALID",IF(COUNT(J50:Q50)=0,"NOT ENTERED",IF(COUNT(J50:Q50)&lt;7,"LOW COVERAGE","VALID")))</x:f>
        <x:v>NOT ENTERED</x:v>
      </x:c>
    </x:row>
    <x:row r="51">
      <x:c r="J51" t="str">
        <x:f>IF(B51="","",IFERROR((5-MATCH(B51,LOOKUPS!$A$2:$A$6,0))*25,"INVALID"))</x:f>
      </x:c>
      <x:c r="K51" t="str">
        <x:f>IF(C51="","",IFERROR((5-MATCH(C51,LOOKUPS!$B$2:$B$6,0))*25,"INVALID"))</x:f>
      </x:c>
      <x:c r="L51" t="str">
        <x:f>IF(D51="","",IFERROR((5-MATCH(D51,LOOKUPS!$C$2:$C$6,0))*25,"INVALID"))</x:f>
      </x:c>
      <x:c r="M51" t="str">
        <x:f>IF(E51="","",IFERROR((5-MATCH(E51,LOOKUPS!$D$2:$D$6,0))*25,"INVALID"))</x:f>
      </x:c>
      <x:c r="N51" t="str">
        <x:f>IF(F51="","",IFERROR((5-MATCH(F51,LOOKUPS!$E$2:$E$6,0))*25,"INVALID"))</x:f>
      </x:c>
      <x:c r="O51" t="str">
        <x:f>IF(G51="","",IFERROR((5-MATCH(G51,LOOKUPS!$F$2:$F$6,0))*25,"INVALID"))</x:f>
      </x:c>
      <x:c r="P51" t="str">
        <x:f>IF(H51="","",IFERROR((5-MATCH(H51,LOOKUPS!$G$2:$G$6,0))*25,"INVALID"))</x:f>
      </x:c>
      <x:c r="Q51" t="str">
        <x:f>IF(I51="","",IF(I51="We have a full water system in-house (not dependent on any provider)","N/A",IFERROR((5-MATCH(I51,LOOKUPS!$H$2:$H$7,0))*25,"INVALID")))</x:f>
      </x:c>
      <x:c r="R51" t="str">
        <x:f>IF(COUNTIF(J51:Q51,"INVALID")&gt;0,"",IF(COUNT(J51:Q51)=0,"",ROUND(AVERAGE(J51:Q51),6)))</x:f>
      </x:c>
      <x:c r="S51" t="str">
        <x:f>IF(COUNTIF(J51:Q51,"INVALID")&gt;0,"INVALID",IF(COUNT(J51:Q51)=0,"NOT ENTERED",IF(COUNT(J51:Q51)&lt;7,"LOW COVERAGE","VALID")))</x:f>
        <x:v>NOT ENTERED</x:v>
      </x:c>
    </x:row>
    <x:row r="52">
      <x:c r="J52" t="str">
        <x:f>IF(B52="","",IFERROR((5-MATCH(B52,LOOKUPS!$A$2:$A$6,0))*25,"INVALID"))</x:f>
      </x:c>
      <x:c r="K52" t="str">
        <x:f>IF(C52="","",IFERROR((5-MATCH(C52,LOOKUPS!$B$2:$B$6,0))*25,"INVALID"))</x:f>
      </x:c>
      <x:c r="L52" t="str">
        <x:f>IF(D52="","",IFERROR((5-MATCH(D52,LOOKUPS!$C$2:$C$6,0))*25,"INVALID"))</x:f>
      </x:c>
      <x:c r="M52" t="str">
        <x:f>IF(E52="","",IFERROR((5-MATCH(E52,LOOKUPS!$D$2:$D$6,0))*25,"INVALID"))</x:f>
      </x:c>
      <x:c r="N52" t="str">
        <x:f>IF(F52="","",IFERROR((5-MATCH(F52,LOOKUPS!$E$2:$E$6,0))*25,"INVALID"))</x:f>
      </x:c>
      <x:c r="O52" t="str">
        <x:f>IF(G52="","",IFERROR((5-MATCH(G52,LOOKUPS!$F$2:$F$6,0))*25,"INVALID"))</x:f>
      </x:c>
      <x:c r="P52" t="str">
        <x:f>IF(H52="","",IFERROR((5-MATCH(H52,LOOKUPS!$G$2:$G$6,0))*25,"INVALID"))</x:f>
      </x:c>
      <x:c r="Q52" t="str">
        <x:f>IF(I52="","",IF(I52="We have a full water system in-house (not dependent on any provider)","N/A",IFERROR((5-MATCH(I52,LOOKUPS!$H$2:$H$7,0))*25,"INVALID")))</x:f>
      </x:c>
      <x:c r="R52" t="str">
        <x:f>IF(COUNTIF(J52:Q52,"INVALID")&gt;0,"",IF(COUNT(J52:Q52)=0,"",ROUND(AVERAGE(J52:Q52),6)))</x:f>
      </x:c>
      <x:c r="S52" t="str">
        <x:f>IF(COUNTIF(J52:Q52,"INVALID")&gt;0,"INVALID",IF(COUNT(J52:Q52)=0,"NOT ENTERED",IF(COUNT(J52:Q52)&lt;7,"LOW COVERAGE","VALID")))</x:f>
        <x:v>NOT ENTERED</x:v>
      </x:c>
    </x:row>
    <x:row r="53">
      <x:c r="J53" t="str">
        <x:f>IF(B53="","",IFERROR((5-MATCH(B53,LOOKUPS!$A$2:$A$6,0))*25,"INVALID"))</x:f>
      </x:c>
      <x:c r="K53" t="str">
        <x:f>IF(C53="","",IFERROR((5-MATCH(C53,LOOKUPS!$B$2:$B$6,0))*25,"INVALID"))</x:f>
      </x:c>
      <x:c r="L53" t="str">
        <x:f>IF(D53="","",IFERROR((5-MATCH(D53,LOOKUPS!$C$2:$C$6,0))*25,"INVALID"))</x:f>
      </x:c>
      <x:c r="M53" t="str">
        <x:f>IF(E53="","",IFERROR((5-MATCH(E53,LOOKUPS!$D$2:$D$6,0))*25,"INVALID"))</x:f>
      </x:c>
      <x:c r="N53" t="str">
        <x:f>IF(F53="","",IFERROR((5-MATCH(F53,LOOKUPS!$E$2:$E$6,0))*25,"INVALID"))</x:f>
      </x:c>
      <x:c r="O53" t="str">
        <x:f>IF(G53="","",IFERROR((5-MATCH(G53,LOOKUPS!$F$2:$F$6,0))*25,"INVALID"))</x:f>
      </x:c>
      <x:c r="P53" t="str">
        <x:f>IF(H53="","",IFERROR((5-MATCH(H53,LOOKUPS!$G$2:$G$6,0))*25,"INVALID"))</x:f>
      </x:c>
      <x:c r="Q53" t="str">
        <x:f>IF(I53="","",IF(I53="We have a full water system in-house (not dependent on any provider)","N/A",IFERROR((5-MATCH(I53,LOOKUPS!$H$2:$H$7,0))*25,"INVALID")))</x:f>
      </x:c>
      <x:c r="R53" t="str">
        <x:f>IF(COUNTIF(J53:Q53,"INVALID")&gt;0,"",IF(COUNT(J53:Q53)=0,"",ROUND(AVERAGE(J53:Q53),6)))</x:f>
      </x:c>
      <x:c r="S53" t="str">
        <x:f>IF(COUNTIF(J53:Q53,"INVALID")&gt;0,"INVALID",IF(COUNT(J53:Q53)=0,"NOT ENTERED",IF(COUNT(J53:Q53)&lt;7,"LOW COVERAGE","VALID")))</x:f>
        <x:v>NOT ENTERED</x:v>
      </x:c>
    </x:row>
    <x:row r="54">
      <x:c r="J54" t="str">
        <x:f>IF(B54="","",IFERROR((5-MATCH(B54,LOOKUPS!$A$2:$A$6,0))*25,"INVALID"))</x:f>
      </x:c>
      <x:c r="K54" t="str">
        <x:f>IF(C54="","",IFERROR((5-MATCH(C54,LOOKUPS!$B$2:$B$6,0))*25,"INVALID"))</x:f>
      </x:c>
      <x:c r="L54" t="str">
        <x:f>IF(D54="","",IFERROR((5-MATCH(D54,LOOKUPS!$C$2:$C$6,0))*25,"INVALID"))</x:f>
      </x:c>
      <x:c r="M54" t="str">
        <x:f>IF(E54="","",IFERROR((5-MATCH(E54,LOOKUPS!$D$2:$D$6,0))*25,"INVALID"))</x:f>
      </x:c>
      <x:c r="N54" t="str">
        <x:f>IF(F54="","",IFERROR((5-MATCH(F54,LOOKUPS!$E$2:$E$6,0))*25,"INVALID"))</x:f>
      </x:c>
      <x:c r="O54" t="str">
        <x:f>IF(G54="","",IFERROR((5-MATCH(G54,LOOKUPS!$F$2:$F$6,0))*25,"INVALID"))</x:f>
      </x:c>
      <x:c r="P54" t="str">
        <x:f>IF(H54="","",IFERROR((5-MATCH(H54,LOOKUPS!$G$2:$G$6,0))*25,"INVALID"))</x:f>
      </x:c>
      <x:c r="Q54" t="str">
        <x:f>IF(I54="","",IF(I54="We have a full water system in-house (not dependent on any provider)","N/A",IFERROR((5-MATCH(I54,LOOKUPS!$H$2:$H$7,0))*25,"INVALID")))</x:f>
      </x:c>
      <x:c r="R54" t="str">
        <x:f>IF(COUNTIF(J54:Q54,"INVALID")&gt;0,"",IF(COUNT(J54:Q54)=0,"",ROUND(AVERAGE(J54:Q54),6)))</x:f>
      </x:c>
      <x:c r="S54" t="str">
        <x:f>IF(COUNTIF(J54:Q54,"INVALID")&gt;0,"INVALID",IF(COUNT(J54:Q54)=0,"NOT ENTERED",IF(COUNT(J54:Q54)&lt;7,"LOW COVERAGE","VALID")))</x:f>
        <x:v>NOT ENTERED</x:v>
      </x:c>
    </x:row>
    <x:row r="55">
      <x:c r="J55" t="str">
        <x:f>IF(B55="","",IFERROR((5-MATCH(B55,LOOKUPS!$A$2:$A$6,0))*25,"INVALID"))</x:f>
      </x:c>
      <x:c r="K55" t="str">
        <x:f>IF(C55="","",IFERROR((5-MATCH(C55,LOOKUPS!$B$2:$B$6,0))*25,"INVALID"))</x:f>
      </x:c>
      <x:c r="L55" t="str">
        <x:f>IF(D55="","",IFERROR((5-MATCH(D55,LOOKUPS!$C$2:$C$6,0))*25,"INVALID"))</x:f>
      </x:c>
      <x:c r="M55" t="str">
        <x:f>IF(E55="","",IFERROR((5-MATCH(E55,LOOKUPS!$D$2:$D$6,0))*25,"INVALID"))</x:f>
      </x:c>
      <x:c r="N55" t="str">
        <x:f>IF(F55="","",IFERROR((5-MATCH(F55,LOOKUPS!$E$2:$E$6,0))*25,"INVALID"))</x:f>
      </x:c>
      <x:c r="O55" t="str">
        <x:f>IF(G55="","",IFERROR((5-MATCH(G55,LOOKUPS!$F$2:$F$6,0))*25,"INVALID"))</x:f>
      </x:c>
      <x:c r="P55" t="str">
        <x:f>IF(H55="","",IFERROR((5-MATCH(H55,LOOKUPS!$G$2:$G$6,0))*25,"INVALID"))</x:f>
      </x:c>
      <x:c r="Q55" t="str">
        <x:f>IF(I55="","",IF(I55="We have a full water system in-house (not dependent on any provider)","N/A",IFERROR((5-MATCH(I55,LOOKUPS!$H$2:$H$7,0))*25,"INVALID")))</x:f>
      </x:c>
      <x:c r="R55" t="str">
        <x:f>IF(COUNTIF(J55:Q55,"INVALID")&gt;0,"",IF(COUNT(J55:Q55)=0,"",ROUND(AVERAGE(J55:Q55),6)))</x:f>
      </x:c>
      <x:c r="S55" t="str">
        <x:f>IF(COUNTIF(J55:Q55,"INVALID")&gt;0,"INVALID",IF(COUNT(J55:Q55)=0,"NOT ENTERED",IF(COUNT(J55:Q55)&lt;7,"LOW COVERAGE","VALID")))</x:f>
        <x:v>NOT ENTERED</x:v>
      </x:c>
    </x:row>
    <x:row r="56">
      <x:c r="J56" t="str">
        <x:f>IF(B56="","",IFERROR((5-MATCH(B56,LOOKUPS!$A$2:$A$6,0))*25,"INVALID"))</x:f>
      </x:c>
      <x:c r="K56" t="str">
        <x:f>IF(C56="","",IFERROR((5-MATCH(C56,LOOKUPS!$B$2:$B$6,0))*25,"INVALID"))</x:f>
      </x:c>
      <x:c r="L56" t="str">
        <x:f>IF(D56="","",IFERROR((5-MATCH(D56,LOOKUPS!$C$2:$C$6,0))*25,"INVALID"))</x:f>
      </x:c>
      <x:c r="M56" t="str">
        <x:f>IF(E56="","",IFERROR((5-MATCH(E56,LOOKUPS!$D$2:$D$6,0))*25,"INVALID"))</x:f>
      </x:c>
      <x:c r="N56" t="str">
        <x:f>IF(F56="","",IFERROR((5-MATCH(F56,LOOKUPS!$E$2:$E$6,0))*25,"INVALID"))</x:f>
      </x:c>
      <x:c r="O56" t="str">
        <x:f>IF(G56="","",IFERROR((5-MATCH(G56,LOOKUPS!$F$2:$F$6,0))*25,"INVALID"))</x:f>
      </x:c>
      <x:c r="P56" t="str">
        <x:f>IF(H56="","",IFERROR((5-MATCH(H56,LOOKUPS!$G$2:$G$6,0))*25,"INVALID"))</x:f>
      </x:c>
      <x:c r="Q56" t="str">
        <x:f>IF(I56="","",IF(I56="We have a full water system in-house (not dependent on any provider)","N/A",IFERROR((5-MATCH(I56,LOOKUPS!$H$2:$H$7,0))*25,"INVALID")))</x:f>
      </x:c>
      <x:c r="R56" t="str">
        <x:f>IF(COUNTIF(J56:Q56,"INVALID")&gt;0,"",IF(COUNT(J56:Q56)=0,"",ROUND(AVERAGE(J56:Q56),6)))</x:f>
      </x:c>
      <x:c r="S56" t="str">
        <x:f>IF(COUNTIF(J56:Q56,"INVALID")&gt;0,"INVALID",IF(COUNT(J56:Q56)=0,"NOT ENTERED",IF(COUNT(J56:Q56)&lt;7,"LOW COVERAGE","VALID")))</x:f>
        <x:v>NOT ENTERED</x:v>
      </x:c>
    </x:row>
    <x:row r="57">
      <x:c r="J57" t="str">
        <x:f>IF(B57="","",IFERROR((5-MATCH(B57,LOOKUPS!$A$2:$A$6,0))*25,"INVALID"))</x:f>
      </x:c>
      <x:c r="K57" t="str">
        <x:f>IF(C57="","",IFERROR((5-MATCH(C57,LOOKUPS!$B$2:$B$6,0))*25,"INVALID"))</x:f>
      </x:c>
      <x:c r="L57" t="str">
        <x:f>IF(D57="","",IFERROR((5-MATCH(D57,LOOKUPS!$C$2:$C$6,0))*25,"INVALID"))</x:f>
      </x:c>
      <x:c r="M57" t="str">
        <x:f>IF(E57="","",IFERROR((5-MATCH(E57,LOOKUPS!$D$2:$D$6,0))*25,"INVALID"))</x:f>
      </x:c>
      <x:c r="N57" t="str">
        <x:f>IF(F57="","",IFERROR((5-MATCH(F57,LOOKUPS!$E$2:$E$6,0))*25,"INVALID"))</x:f>
      </x:c>
      <x:c r="O57" t="str">
        <x:f>IF(G57="","",IFERROR((5-MATCH(G57,LOOKUPS!$F$2:$F$6,0))*25,"INVALID"))</x:f>
      </x:c>
      <x:c r="P57" t="str">
        <x:f>IF(H57="","",IFERROR((5-MATCH(H57,LOOKUPS!$G$2:$G$6,0))*25,"INVALID"))</x:f>
      </x:c>
      <x:c r="Q57" t="str">
        <x:f>IF(I57="","",IF(I57="We have a full water system in-house (not dependent on any provider)","N/A",IFERROR((5-MATCH(I57,LOOKUPS!$H$2:$H$7,0))*25,"INVALID")))</x:f>
      </x:c>
      <x:c r="R57" t="str">
        <x:f>IF(COUNTIF(J57:Q57,"INVALID")&gt;0,"",IF(COUNT(J57:Q57)=0,"",ROUND(AVERAGE(J57:Q57),6)))</x:f>
      </x:c>
      <x:c r="S57" t="str">
        <x:f>IF(COUNTIF(J57:Q57,"INVALID")&gt;0,"INVALID",IF(COUNT(J57:Q57)=0,"NOT ENTERED",IF(COUNT(J57:Q57)&lt;7,"LOW COVERAGE","VALID")))</x:f>
        <x:v>NOT ENTERED</x:v>
      </x:c>
    </x:row>
    <x:row r="58">
      <x:c r="J58" t="str">
        <x:f>IF(B58="","",IFERROR((5-MATCH(B58,LOOKUPS!$A$2:$A$6,0))*25,"INVALID"))</x:f>
      </x:c>
      <x:c r="K58" t="str">
        <x:f>IF(C58="","",IFERROR((5-MATCH(C58,LOOKUPS!$B$2:$B$6,0))*25,"INVALID"))</x:f>
      </x:c>
      <x:c r="L58" t="str">
        <x:f>IF(D58="","",IFERROR((5-MATCH(D58,LOOKUPS!$C$2:$C$6,0))*25,"INVALID"))</x:f>
      </x:c>
      <x:c r="M58" t="str">
        <x:f>IF(E58="","",IFERROR((5-MATCH(E58,LOOKUPS!$D$2:$D$6,0))*25,"INVALID"))</x:f>
      </x:c>
      <x:c r="N58" t="str">
        <x:f>IF(F58="","",IFERROR((5-MATCH(F58,LOOKUPS!$E$2:$E$6,0))*25,"INVALID"))</x:f>
      </x:c>
      <x:c r="O58" t="str">
        <x:f>IF(G58="","",IFERROR((5-MATCH(G58,LOOKUPS!$F$2:$F$6,0))*25,"INVALID"))</x:f>
      </x:c>
      <x:c r="P58" t="str">
        <x:f>IF(H58="","",IFERROR((5-MATCH(H58,LOOKUPS!$G$2:$G$6,0))*25,"INVALID"))</x:f>
      </x:c>
      <x:c r="Q58" t="str">
        <x:f>IF(I58="","",IF(I58="We have a full water system in-house (not dependent on any provider)","N/A",IFERROR((5-MATCH(I58,LOOKUPS!$H$2:$H$7,0))*25,"INVALID")))</x:f>
      </x:c>
      <x:c r="R58" t="str">
        <x:f>IF(COUNTIF(J58:Q58,"INVALID")&gt;0,"",IF(COUNT(J58:Q58)=0,"",ROUND(AVERAGE(J58:Q58),6)))</x:f>
      </x:c>
      <x:c r="S58" t="str">
        <x:f>IF(COUNTIF(J58:Q58,"INVALID")&gt;0,"INVALID",IF(COUNT(J58:Q58)=0,"NOT ENTERED",IF(COUNT(J58:Q58)&lt;7,"LOW COVERAGE","VALID")))</x:f>
        <x:v>NOT ENTERED</x:v>
      </x:c>
    </x:row>
    <x:row r="59">
      <x:c r="J59" t="str">
        <x:f>IF(B59="","",IFERROR((5-MATCH(B59,LOOKUPS!$A$2:$A$6,0))*25,"INVALID"))</x:f>
      </x:c>
      <x:c r="K59" t="str">
        <x:f>IF(C59="","",IFERROR((5-MATCH(C59,LOOKUPS!$B$2:$B$6,0))*25,"INVALID"))</x:f>
      </x:c>
      <x:c r="L59" t="str">
        <x:f>IF(D59="","",IFERROR((5-MATCH(D59,LOOKUPS!$C$2:$C$6,0))*25,"INVALID"))</x:f>
      </x:c>
      <x:c r="M59" t="str">
        <x:f>IF(E59="","",IFERROR((5-MATCH(E59,LOOKUPS!$D$2:$D$6,0))*25,"INVALID"))</x:f>
      </x:c>
      <x:c r="N59" t="str">
        <x:f>IF(F59="","",IFERROR((5-MATCH(F59,LOOKUPS!$E$2:$E$6,0))*25,"INVALID"))</x:f>
      </x:c>
      <x:c r="O59" t="str">
        <x:f>IF(G59="","",IFERROR((5-MATCH(G59,LOOKUPS!$F$2:$F$6,0))*25,"INVALID"))</x:f>
      </x:c>
      <x:c r="P59" t="str">
        <x:f>IF(H59="","",IFERROR((5-MATCH(H59,LOOKUPS!$G$2:$G$6,0))*25,"INVALID"))</x:f>
      </x:c>
      <x:c r="Q59" t="str">
        <x:f>IF(I59="","",IF(I59="We have a full water system in-house (not dependent on any provider)","N/A",IFERROR((5-MATCH(I59,LOOKUPS!$H$2:$H$7,0))*25,"INVALID")))</x:f>
      </x:c>
      <x:c r="R59" t="str">
        <x:f>IF(COUNTIF(J59:Q59,"INVALID")&gt;0,"",IF(COUNT(J59:Q59)=0,"",ROUND(AVERAGE(J59:Q59),6)))</x:f>
      </x:c>
      <x:c r="S59" t="str">
        <x:f>IF(COUNTIF(J59:Q59,"INVALID")&gt;0,"INVALID",IF(COUNT(J59:Q59)=0,"NOT ENTERED",IF(COUNT(J59:Q59)&lt;7,"LOW COVERAGE","VALID")))</x:f>
        <x:v>NOT ENTERED</x:v>
      </x:c>
    </x:row>
    <x:row r="60">
      <x:c r="J60" t="str">
        <x:f>IF(B60="","",IFERROR((5-MATCH(B60,LOOKUPS!$A$2:$A$6,0))*25,"INVALID"))</x:f>
      </x:c>
      <x:c r="K60" t="str">
        <x:f>IF(C60="","",IFERROR((5-MATCH(C60,LOOKUPS!$B$2:$B$6,0))*25,"INVALID"))</x:f>
      </x:c>
      <x:c r="L60" t="str">
        <x:f>IF(D60="","",IFERROR((5-MATCH(D60,LOOKUPS!$C$2:$C$6,0))*25,"INVALID"))</x:f>
      </x:c>
      <x:c r="M60" t="str">
        <x:f>IF(E60="","",IFERROR((5-MATCH(E60,LOOKUPS!$D$2:$D$6,0))*25,"INVALID"))</x:f>
      </x:c>
      <x:c r="N60" t="str">
        <x:f>IF(F60="","",IFERROR((5-MATCH(F60,LOOKUPS!$E$2:$E$6,0))*25,"INVALID"))</x:f>
      </x:c>
      <x:c r="O60" t="str">
        <x:f>IF(G60="","",IFERROR((5-MATCH(G60,LOOKUPS!$F$2:$F$6,0))*25,"INVALID"))</x:f>
      </x:c>
      <x:c r="P60" t="str">
        <x:f>IF(H60="","",IFERROR((5-MATCH(H60,LOOKUPS!$G$2:$G$6,0))*25,"INVALID"))</x:f>
      </x:c>
      <x:c r="Q60" t="str">
        <x:f>IF(I60="","",IF(I60="We have a full water system in-house (not dependent on any provider)","N/A",IFERROR((5-MATCH(I60,LOOKUPS!$H$2:$H$7,0))*25,"INVALID")))</x:f>
      </x:c>
      <x:c r="R60" t="str">
        <x:f>IF(COUNTIF(J60:Q60,"INVALID")&gt;0,"",IF(COUNT(J60:Q60)=0,"",ROUND(AVERAGE(J60:Q60),6)))</x:f>
      </x:c>
      <x:c r="S60" t="str">
        <x:f>IF(COUNTIF(J60:Q60,"INVALID")&gt;0,"INVALID",IF(COUNT(J60:Q60)=0,"NOT ENTERED",IF(COUNT(J60:Q60)&lt;7,"LOW COVERAGE","VALID")))</x:f>
        <x:v>NOT ENTERED</x:v>
      </x:c>
    </x:row>
    <x:row r="61">
      <x:c r="J61" t="str">
        <x:f>IF(B61="","",IFERROR((5-MATCH(B61,LOOKUPS!$A$2:$A$6,0))*25,"INVALID"))</x:f>
      </x:c>
      <x:c r="K61" t="str">
        <x:f>IF(C61="","",IFERROR((5-MATCH(C61,LOOKUPS!$B$2:$B$6,0))*25,"INVALID"))</x:f>
      </x:c>
      <x:c r="L61" t="str">
        <x:f>IF(D61="","",IFERROR((5-MATCH(D61,LOOKUPS!$C$2:$C$6,0))*25,"INVALID"))</x:f>
      </x:c>
      <x:c r="M61" t="str">
        <x:f>IF(E61="","",IFERROR((5-MATCH(E61,LOOKUPS!$D$2:$D$6,0))*25,"INVALID"))</x:f>
      </x:c>
      <x:c r="N61" t="str">
        <x:f>IF(F61="","",IFERROR((5-MATCH(F61,LOOKUPS!$E$2:$E$6,0))*25,"INVALID"))</x:f>
      </x:c>
      <x:c r="O61" t="str">
        <x:f>IF(G61="","",IFERROR((5-MATCH(G61,LOOKUPS!$F$2:$F$6,0))*25,"INVALID"))</x:f>
      </x:c>
      <x:c r="P61" t="str">
        <x:f>IF(H61="","",IFERROR((5-MATCH(H61,LOOKUPS!$G$2:$G$6,0))*25,"INVALID"))</x:f>
      </x:c>
      <x:c r="Q61" t="str">
        <x:f>IF(I61="","",IF(I61="We have a full water system in-house (not dependent on any provider)","N/A",IFERROR((5-MATCH(I61,LOOKUPS!$H$2:$H$7,0))*25,"INVALID")))</x:f>
      </x:c>
      <x:c r="R61" t="str">
        <x:f>IF(COUNTIF(J61:Q61,"INVALID")&gt;0,"",IF(COUNT(J61:Q61)=0,"",ROUND(AVERAGE(J61:Q61),6)))</x:f>
      </x:c>
      <x:c r="S61" t="str">
        <x:f>IF(COUNTIF(J61:Q61,"INVALID")&gt;0,"INVALID",IF(COUNT(J61:Q61)=0,"NOT ENTERED",IF(COUNT(J61:Q61)&lt;7,"LOW COVERAGE","VALID")))</x:f>
        <x:v>NOT ENTERED</x:v>
      </x:c>
    </x:row>
    <x:row r="62">
      <x:c r="J62" t="str">
        <x:f>IF(B62="","",IFERROR((5-MATCH(B62,LOOKUPS!$A$2:$A$6,0))*25,"INVALID"))</x:f>
      </x:c>
      <x:c r="K62" t="str">
        <x:f>IF(C62="","",IFERROR((5-MATCH(C62,LOOKUPS!$B$2:$B$6,0))*25,"INVALID"))</x:f>
      </x:c>
      <x:c r="L62" t="str">
        <x:f>IF(D62="","",IFERROR((5-MATCH(D62,LOOKUPS!$C$2:$C$6,0))*25,"INVALID"))</x:f>
      </x:c>
      <x:c r="M62" t="str">
        <x:f>IF(E62="","",IFERROR((5-MATCH(E62,LOOKUPS!$D$2:$D$6,0))*25,"INVALID"))</x:f>
      </x:c>
      <x:c r="N62" t="str">
        <x:f>IF(F62="","",IFERROR((5-MATCH(F62,LOOKUPS!$E$2:$E$6,0))*25,"INVALID"))</x:f>
      </x:c>
      <x:c r="O62" t="str">
        <x:f>IF(G62="","",IFERROR((5-MATCH(G62,LOOKUPS!$F$2:$F$6,0))*25,"INVALID"))</x:f>
      </x:c>
      <x:c r="P62" t="str">
        <x:f>IF(H62="","",IFERROR((5-MATCH(H62,LOOKUPS!$G$2:$G$6,0))*25,"INVALID"))</x:f>
      </x:c>
      <x:c r="Q62" t="str">
        <x:f>IF(I62="","",IF(I62="We have a full water system in-house (not dependent on any provider)","N/A",IFERROR((5-MATCH(I62,LOOKUPS!$H$2:$H$7,0))*25,"INVALID")))</x:f>
      </x:c>
      <x:c r="R62" t="str">
        <x:f>IF(COUNTIF(J62:Q62,"INVALID")&gt;0,"",IF(COUNT(J62:Q62)=0,"",ROUND(AVERAGE(J62:Q62),6)))</x:f>
      </x:c>
      <x:c r="S62" t="str">
        <x:f>IF(COUNTIF(J62:Q62,"INVALID")&gt;0,"INVALID",IF(COUNT(J62:Q62)=0,"NOT ENTERED",IF(COUNT(J62:Q62)&lt;7,"LOW COVERAGE","VALID")))</x:f>
        <x:v>NOT ENTERED</x:v>
      </x:c>
    </x:row>
    <x:row r="63">
      <x:c r="J63" t="str">
        <x:f>IF(B63="","",IFERROR((5-MATCH(B63,LOOKUPS!$A$2:$A$6,0))*25,"INVALID"))</x:f>
      </x:c>
      <x:c r="K63" t="str">
        <x:f>IF(C63="","",IFERROR((5-MATCH(C63,LOOKUPS!$B$2:$B$6,0))*25,"INVALID"))</x:f>
      </x:c>
      <x:c r="L63" t="str">
        <x:f>IF(D63="","",IFERROR((5-MATCH(D63,LOOKUPS!$C$2:$C$6,0))*25,"INVALID"))</x:f>
      </x:c>
      <x:c r="M63" t="str">
        <x:f>IF(E63="","",IFERROR((5-MATCH(E63,LOOKUPS!$D$2:$D$6,0))*25,"INVALID"))</x:f>
      </x:c>
      <x:c r="N63" t="str">
        <x:f>IF(F63="","",IFERROR((5-MATCH(F63,LOOKUPS!$E$2:$E$6,0))*25,"INVALID"))</x:f>
      </x:c>
      <x:c r="O63" t="str">
        <x:f>IF(G63="","",IFERROR((5-MATCH(G63,LOOKUPS!$F$2:$F$6,0))*25,"INVALID"))</x:f>
      </x:c>
      <x:c r="P63" t="str">
        <x:f>IF(H63="","",IFERROR((5-MATCH(H63,LOOKUPS!$G$2:$G$6,0))*25,"INVALID"))</x:f>
      </x:c>
      <x:c r="Q63" t="str">
        <x:f>IF(I63="","",IF(I63="We have a full water system in-house (not dependent on any provider)","N/A",IFERROR((5-MATCH(I63,LOOKUPS!$H$2:$H$7,0))*25,"INVALID")))</x:f>
      </x:c>
      <x:c r="R63" t="str">
        <x:f>IF(COUNTIF(J63:Q63,"INVALID")&gt;0,"",IF(COUNT(J63:Q63)=0,"",ROUND(AVERAGE(J63:Q63),6)))</x:f>
      </x:c>
      <x:c r="S63" t="str">
        <x:f>IF(COUNTIF(J63:Q63,"INVALID")&gt;0,"INVALID",IF(COUNT(J63:Q63)=0,"NOT ENTERED",IF(COUNT(J63:Q63)&lt;7,"LOW COVERAGE","VALID")))</x:f>
        <x:v>NOT ENTERED</x:v>
      </x:c>
    </x:row>
    <x:row r="64">
      <x:c r="J64" t="str">
        <x:f>IF(B64="","",IFERROR((5-MATCH(B64,LOOKUPS!$A$2:$A$6,0))*25,"INVALID"))</x:f>
      </x:c>
      <x:c r="K64" t="str">
        <x:f>IF(C64="","",IFERROR((5-MATCH(C64,LOOKUPS!$B$2:$B$6,0))*25,"INVALID"))</x:f>
      </x:c>
      <x:c r="L64" t="str">
        <x:f>IF(D64="","",IFERROR((5-MATCH(D64,LOOKUPS!$C$2:$C$6,0))*25,"INVALID"))</x:f>
      </x:c>
      <x:c r="M64" t="str">
        <x:f>IF(E64="","",IFERROR((5-MATCH(E64,LOOKUPS!$D$2:$D$6,0))*25,"INVALID"))</x:f>
      </x:c>
      <x:c r="N64" t="str">
        <x:f>IF(F64="","",IFERROR((5-MATCH(F64,LOOKUPS!$E$2:$E$6,0))*25,"INVALID"))</x:f>
      </x:c>
      <x:c r="O64" t="str">
        <x:f>IF(G64="","",IFERROR((5-MATCH(G64,LOOKUPS!$F$2:$F$6,0))*25,"INVALID"))</x:f>
      </x:c>
      <x:c r="P64" t="str">
        <x:f>IF(H64="","",IFERROR((5-MATCH(H64,LOOKUPS!$G$2:$G$6,0))*25,"INVALID"))</x:f>
      </x:c>
      <x:c r="Q64" t="str">
        <x:f>IF(I64="","",IF(I64="We have a full water system in-house (not dependent on any provider)","N/A",IFERROR((5-MATCH(I64,LOOKUPS!$H$2:$H$7,0))*25,"INVALID")))</x:f>
      </x:c>
      <x:c r="R64" t="str">
        <x:f>IF(COUNTIF(J64:Q64,"INVALID")&gt;0,"",IF(COUNT(J64:Q64)=0,"",ROUND(AVERAGE(J64:Q64),6)))</x:f>
      </x:c>
      <x:c r="S64" t="str">
        <x:f>IF(COUNTIF(J64:Q64,"INVALID")&gt;0,"INVALID",IF(COUNT(J64:Q64)=0,"NOT ENTERED",IF(COUNT(J64:Q64)&lt;7,"LOW COVERAGE","VALID")))</x:f>
        <x:v>NOT ENTERED</x:v>
      </x:c>
    </x:row>
    <x:row r="65">
      <x:c r="J65" t="str">
        <x:f>IF(B65="","",IFERROR((5-MATCH(B65,LOOKUPS!$A$2:$A$6,0))*25,"INVALID"))</x:f>
      </x:c>
      <x:c r="K65" t="str">
        <x:f>IF(C65="","",IFERROR((5-MATCH(C65,LOOKUPS!$B$2:$B$6,0))*25,"INVALID"))</x:f>
      </x:c>
      <x:c r="L65" t="str">
        <x:f>IF(D65="","",IFERROR((5-MATCH(D65,LOOKUPS!$C$2:$C$6,0))*25,"INVALID"))</x:f>
      </x:c>
      <x:c r="M65" t="str">
        <x:f>IF(E65="","",IFERROR((5-MATCH(E65,LOOKUPS!$D$2:$D$6,0))*25,"INVALID"))</x:f>
      </x:c>
      <x:c r="N65" t="str">
        <x:f>IF(F65="","",IFERROR((5-MATCH(F65,LOOKUPS!$E$2:$E$6,0))*25,"INVALID"))</x:f>
      </x:c>
      <x:c r="O65" t="str">
        <x:f>IF(G65="","",IFERROR((5-MATCH(G65,LOOKUPS!$F$2:$F$6,0))*25,"INVALID"))</x:f>
      </x:c>
      <x:c r="P65" t="str">
        <x:f>IF(H65="","",IFERROR((5-MATCH(H65,LOOKUPS!$G$2:$G$6,0))*25,"INVALID"))</x:f>
      </x:c>
      <x:c r="Q65" t="str">
        <x:f>IF(I65="","",IF(I65="We have a full water system in-house (not dependent on any provider)","N/A",IFERROR((5-MATCH(I65,LOOKUPS!$H$2:$H$7,0))*25,"INVALID")))</x:f>
      </x:c>
      <x:c r="R65" t="str">
        <x:f>IF(COUNTIF(J65:Q65,"INVALID")&gt;0,"",IF(COUNT(J65:Q65)=0,"",ROUND(AVERAGE(J65:Q65),6)))</x:f>
      </x:c>
      <x:c r="S65" t="str">
        <x:f>IF(COUNTIF(J65:Q65,"INVALID")&gt;0,"INVALID",IF(COUNT(J65:Q65)=0,"NOT ENTERED",IF(COUNT(J65:Q65)&lt;7,"LOW COVERAGE","VALID")))</x:f>
        <x:v>NOT ENTERED</x:v>
      </x:c>
    </x:row>
    <x:row r="66">
      <x:c r="J66" t="str">
        <x:f>IF(B66="","",IFERROR((5-MATCH(B66,LOOKUPS!$A$2:$A$6,0))*25,"INVALID"))</x:f>
      </x:c>
      <x:c r="K66" t="str">
        <x:f>IF(C66="","",IFERROR((5-MATCH(C66,LOOKUPS!$B$2:$B$6,0))*25,"INVALID"))</x:f>
      </x:c>
      <x:c r="L66" t="str">
        <x:f>IF(D66="","",IFERROR((5-MATCH(D66,LOOKUPS!$C$2:$C$6,0))*25,"INVALID"))</x:f>
      </x:c>
      <x:c r="M66" t="str">
        <x:f>IF(E66="","",IFERROR((5-MATCH(E66,LOOKUPS!$D$2:$D$6,0))*25,"INVALID"))</x:f>
      </x:c>
      <x:c r="N66" t="str">
        <x:f>IF(F66="","",IFERROR((5-MATCH(F66,LOOKUPS!$E$2:$E$6,0))*25,"INVALID"))</x:f>
      </x:c>
      <x:c r="O66" t="str">
        <x:f>IF(G66="","",IFERROR((5-MATCH(G66,LOOKUPS!$F$2:$F$6,0))*25,"INVALID"))</x:f>
      </x:c>
      <x:c r="P66" t="str">
        <x:f>IF(H66="","",IFERROR((5-MATCH(H66,LOOKUPS!$G$2:$G$6,0))*25,"INVALID"))</x:f>
      </x:c>
      <x:c r="Q66" t="str">
        <x:f>IF(I66="","",IF(I66="We have a full water system in-house (not dependent on any provider)","N/A",IFERROR((5-MATCH(I66,LOOKUPS!$H$2:$H$7,0))*25,"INVALID")))</x:f>
      </x:c>
      <x:c r="R66" t="str">
        <x:f>IF(COUNTIF(J66:Q66,"INVALID")&gt;0,"",IF(COUNT(J66:Q66)=0,"",ROUND(AVERAGE(J66:Q66),6)))</x:f>
      </x:c>
      <x:c r="S66" t="str">
        <x:f>IF(COUNTIF(J66:Q66,"INVALID")&gt;0,"INVALID",IF(COUNT(J66:Q66)=0,"NOT ENTERED",IF(COUNT(J66:Q66)&lt;7,"LOW COVERAGE","VALID")))</x:f>
        <x:v>NOT ENTERED</x:v>
      </x:c>
    </x:row>
    <x:row r="67">
      <x:c r="J67" t="str">
        <x:f>IF(B67="","",IFERROR((5-MATCH(B67,LOOKUPS!$A$2:$A$6,0))*25,"INVALID"))</x:f>
      </x:c>
      <x:c r="K67" t="str">
        <x:f>IF(C67="","",IFERROR((5-MATCH(C67,LOOKUPS!$B$2:$B$6,0))*25,"INVALID"))</x:f>
      </x:c>
      <x:c r="L67" t="str">
        <x:f>IF(D67="","",IFERROR((5-MATCH(D67,LOOKUPS!$C$2:$C$6,0))*25,"INVALID"))</x:f>
      </x:c>
      <x:c r="M67" t="str">
        <x:f>IF(E67="","",IFERROR((5-MATCH(E67,LOOKUPS!$D$2:$D$6,0))*25,"INVALID"))</x:f>
      </x:c>
      <x:c r="N67" t="str">
        <x:f>IF(F67="","",IFERROR((5-MATCH(F67,LOOKUPS!$E$2:$E$6,0))*25,"INVALID"))</x:f>
      </x:c>
      <x:c r="O67" t="str">
        <x:f>IF(G67="","",IFERROR((5-MATCH(G67,LOOKUPS!$F$2:$F$6,0))*25,"INVALID"))</x:f>
      </x:c>
      <x:c r="P67" t="str">
        <x:f>IF(H67="","",IFERROR((5-MATCH(H67,LOOKUPS!$G$2:$G$6,0))*25,"INVALID"))</x:f>
      </x:c>
      <x:c r="Q67" t="str">
        <x:f>IF(I67="","",IF(I67="We have a full water system in-house (not dependent on any provider)","N/A",IFERROR((5-MATCH(I67,LOOKUPS!$H$2:$H$7,0))*25,"INVALID")))</x:f>
      </x:c>
      <x:c r="R67" t="str">
        <x:f>IF(COUNTIF(J67:Q67,"INVALID")&gt;0,"",IF(COUNT(J67:Q67)=0,"",ROUND(AVERAGE(J67:Q67),6)))</x:f>
      </x:c>
      <x:c r="S67" t="str">
        <x:f>IF(COUNTIF(J67:Q67,"INVALID")&gt;0,"INVALID",IF(COUNT(J67:Q67)=0,"NOT ENTERED",IF(COUNT(J67:Q67)&lt;7,"LOW COVERAGE","VALID")))</x:f>
        <x:v>NOT ENTERED</x:v>
      </x:c>
    </x:row>
    <x:row r="68">
      <x:c r="J68" t="str">
        <x:f>IF(B68="","",IFERROR((5-MATCH(B68,LOOKUPS!$A$2:$A$6,0))*25,"INVALID"))</x:f>
      </x:c>
      <x:c r="K68" t="str">
        <x:f>IF(C68="","",IFERROR((5-MATCH(C68,LOOKUPS!$B$2:$B$6,0))*25,"INVALID"))</x:f>
      </x:c>
      <x:c r="L68" t="str">
        <x:f>IF(D68="","",IFERROR((5-MATCH(D68,LOOKUPS!$C$2:$C$6,0))*25,"INVALID"))</x:f>
      </x:c>
      <x:c r="M68" t="str">
        <x:f>IF(E68="","",IFERROR((5-MATCH(E68,LOOKUPS!$D$2:$D$6,0))*25,"INVALID"))</x:f>
      </x:c>
      <x:c r="N68" t="str">
        <x:f>IF(F68="","",IFERROR((5-MATCH(F68,LOOKUPS!$E$2:$E$6,0))*25,"INVALID"))</x:f>
      </x:c>
      <x:c r="O68" t="str">
        <x:f>IF(G68="","",IFERROR((5-MATCH(G68,LOOKUPS!$F$2:$F$6,0))*25,"INVALID"))</x:f>
      </x:c>
      <x:c r="P68" t="str">
        <x:f>IF(H68="","",IFERROR((5-MATCH(H68,LOOKUPS!$G$2:$G$6,0))*25,"INVALID"))</x:f>
      </x:c>
      <x:c r="Q68" t="str">
        <x:f>IF(I68="","",IF(I68="We have a full water system in-house (not dependent on any provider)","N/A",IFERROR((5-MATCH(I68,LOOKUPS!$H$2:$H$7,0))*25,"INVALID")))</x:f>
      </x:c>
      <x:c r="R68" t="str">
        <x:f>IF(COUNTIF(J68:Q68,"INVALID")&gt;0,"",IF(COUNT(J68:Q68)=0,"",ROUND(AVERAGE(J68:Q68),6)))</x:f>
      </x:c>
      <x:c r="S68" t="str">
        <x:f>IF(COUNTIF(J68:Q68,"INVALID")&gt;0,"INVALID",IF(COUNT(J68:Q68)=0,"NOT ENTERED",IF(COUNT(J68:Q68)&lt;7,"LOW COVERAGE","VALID")))</x:f>
        <x:v>NOT ENTERED</x:v>
      </x:c>
    </x:row>
    <x:row r="69">
      <x:c r="J69" t="str">
        <x:f>IF(B69="","",IFERROR((5-MATCH(B69,LOOKUPS!$A$2:$A$6,0))*25,"INVALID"))</x:f>
      </x:c>
      <x:c r="K69" t="str">
        <x:f>IF(C69="","",IFERROR((5-MATCH(C69,LOOKUPS!$B$2:$B$6,0))*25,"INVALID"))</x:f>
      </x:c>
      <x:c r="L69" t="str">
        <x:f>IF(D69="","",IFERROR((5-MATCH(D69,LOOKUPS!$C$2:$C$6,0))*25,"INVALID"))</x:f>
      </x:c>
      <x:c r="M69" t="str">
        <x:f>IF(E69="","",IFERROR((5-MATCH(E69,LOOKUPS!$D$2:$D$6,0))*25,"INVALID"))</x:f>
      </x:c>
      <x:c r="N69" t="str">
        <x:f>IF(F69="","",IFERROR((5-MATCH(F69,LOOKUPS!$E$2:$E$6,0))*25,"INVALID"))</x:f>
      </x:c>
      <x:c r="O69" t="str">
        <x:f>IF(G69="","",IFERROR((5-MATCH(G69,LOOKUPS!$F$2:$F$6,0))*25,"INVALID"))</x:f>
      </x:c>
      <x:c r="P69" t="str">
        <x:f>IF(H69="","",IFERROR((5-MATCH(H69,LOOKUPS!$G$2:$G$6,0))*25,"INVALID"))</x:f>
      </x:c>
      <x:c r="Q69" t="str">
        <x:f>IF(I69="","",IF(I69="We have a full water system in-house (not dependent on any provider)","N/A",IFERROR((5-MATCH(I69,LOOKUPS!$H$2:$H$7,0))*25,"INVALID")))</x:f>
      </x:c>
      <x:c r="R69" t="str">
        <x:f>IF(COUNTIF(J69:Q69,"INVALID")&gt;0,"",IF(COUNT(J69:Q69)=0,"",ROUND(AVERAGE(J69:Q69),6)))</x:f>
      </x:c>
      <x:c r="S69" t="str">
        <x:f>IF(COUNTIF(J69:Q69,"INVALID")&gt;0,"INVALID",IF(COUNT(J69:Q69)=0,"NOT ENTERED",IF(COUNT(J69:Q69)&lt;7,"LOW COVERAGE","VALID")))</x:f>
        <x:v>NOT ENTERED</x:v>
      </x:c>
    </x:row>
    <x:row r="70">
      <x:c r="J70" t="str">
        <x:f>IF(B70="","",IFERROR((5-MATCH(B70,LOOKUPS!$A$2:$A$6,0))*25,"INVALID"))</x:f>
      </x:c>
      <x:c r="K70" t="str">
        <x:f>IF(C70="","",IFERROR((5-MATCH(C70,LOOKUPS!$B$2:$B$6,0))*25,"INVALID"))</x:f>
      </x:c>
      <x:c r="L70" t="str">
        <x:f>IF(D70="","",IFERROR((5-MATCH(D70,LOOKUPS!$C$2:$C$6,0))*25,"INVALID"))</x:f>
      </x:c>
      <x:c r="M70" t="str">
        <x:f>IF(E70="","",IFERROR((5-MATCH(E70,LOOKUPS!$D$2:$D$6,0))*25,"INVALID"))</x:f>
      </x:c>
      <x:c r="N70" t="str">
        <x:f>IF(F70="","",IFERROR((5-MATCH(F70,LOOKUPS!$E$2:$E$6,0))*25,"INVALID"))</x:f>
      </x:c>
      <x:c r="O70" t="str">
        <x:f>IF(G70="","",IFERROR((5-MATCH(G70,LOOKUPS!$F$2:$F$6,0))*25,"INVALID"))</x:f>
      </x:c>
      <x:c r="P70" t="str">
        <x:f>IF(H70="","",IFERROR((5-MATCH(H70,LOOKUPS!$G$2:$G$6,0))*25,"INVALID"))</x:f>
      </x:c>
      <x:c r="Q70" t="str">
        <x:f>IF(I70="","",IF(I70="We have a full water system in-house (not dependent on any provider)","N/A",IFERROR((5-MATCH(I70,LOOKUPS!$H$2:$H$7,0))*25,"INVALID")))</x:f>
      </x:c>
      <x:c r="R70" t="str">
        <x:f>IF(COUNTIF(J70:Q70,"INVALID")&gt;0,"",IF(COUNT(J70:Q70)=0,"",ROUND(AVERAGE(J70:Q70),6)))</x:f>
      </x:c>
      <x:c r="S70" t="str">
        <x:f>IF(COUNTIF(J70:Q70,"INVALID")&gt;0,"INVALID",IF(COUNT(J70:Q70)=0,"NOT ENTERED",IF(COUNT(J70:Q70)&lt;7,"LOW COVERAGE","VALID")))</x:f>
        <x:v>NOT ENTERED</x:v>
      </x:c>
    </x:row>
    <x:row r="71">
      <x:c r="J71" t="str">
        <x:f>IF(B71="","",IFERROR((5-MATCH(B71,LOOKUPS!$A$2:$A$6,0))*25,"INVALID"))</x:f>
      </x:c>
      <x:c r="K71" t="str">
        <x:f>IF(C71="","",IFERROR((5-MATCH(C71,LOOKUPS!$B$2:$B$6,0))*25,"INVALID"))</x:f>
      </x:c>
      <x:c r="L71" t="str">
        <x:f>IF(D71="","",IFERROR((5-MATCH(D71,LOOKUPS!$C$2:$C$6,0))*25,"INVALID"))</x:f>
      </x:c>
      <x:c r="M71" t="str">
        <x:f>IF(E71="","",IFERROR((5-MATCH(E71,LOOKUPS!$D$2:$D$6,0))*25,"INVALID"))</x:f>
      </x:c>
      <x:c r="N71" t="str">
        <x:f>IF(F71="","",IFERROR((5-MATCH(F71,LOOKUPS!$E$2:$E$6,0))*25,"INVALID"))</x:f>
      </x:c>
      <x:c r="O71" t="str">
        <x:f>IF(G71="","",IFERROR((5-MATCH(G71,LOOKUPS!$F$2:$F$6,0))*25,"INVALID"))</x:f>
      </x:c>
      <x:c r="P71" t="str">
        <x:f>IF(H71="","",IFERROR((5-MATCH(H71,LOOKUPS!$G$2:$G$6,0))*25,"INVALID"))</x:f>
      </x:c>
      <x:c r="Q71" t="str">
        <x:f>IF(I71="","",IF(I71="We have a full water system in-house (not dependent on any provider)","N/A",IFERROR((5-MATCH(I71,LOOKUPS!$H$2:$H$7,0))*25,"INVALID")))</x:f>
      </x:c>
      <x:c r="R71" t="str">
        <x:f>IF(COUNTIF(J71:Q71,"INVALID")&gt;0,"",IF(COUNT(J71:Q71)=0,"",ROUND(AVERAGE(J71:Q71),6)))</x:f>
      </x:c>
      <x:c r="S71" t="str">
        <x:f>IF(COUNTIF(J71:Q71,"INVALID")&gt;0,"INVALID",IF(COUNT(J71:Q71)=0,"NOT ENTERED",IF(COUNT(J71:Q71)&lt;7,"LOW COVERAGE","VALID")))</x:f>
        <x:v>NOT ENTERED</x:v>
      </x:c>
    </x:row>
    <x:row r="72">
      <x:c r="J72" t="str">
        <x:f>IF(B72="","",IFERROR((5-MATCH(B72,LOOKUPS!$A$2:$A$6,0))*25,"INVALID"))</x:f>
      </x:c>
      <x:c r="K72" t="str">
        <x:f>IF(C72="","",IFERROR((5-MATCH(C72,LOOKUPS!$B$2:$B$6,0))*25,"INVALID"))</x:f>
      </x:c>
      <x:c r="L72" t="str">
        <x:f>IF(D72="","",IFERROR((5-MATCH(D72,LOOKUPS!$C$2:$C$6,0))*25,"INVALID"))</x:f>
      </x:c>
      <x:c r="M72" t="str">
        <x:f>IF(E72="","",IFERROR((5-MATCH(E72,LOOKUPS!$D$2:$D$6,0))*25,"INVALID"))</x:f>
      </x:c>
      <x:c r="N72" t="str">
        <x:f>IF(F72="","",IFERROR((5-MATCH(F72,LOOKUPS!$E$2:$E$6,0))*25,"INVALID"))</x:f>
      </x:c>
      <x:c r="O72" t="str">
        <x:f>IF(G72="","",IFERROR((5-MATCH(G72,LOOKUPS!$F$2:$F$6,0))*25,"INVALID"))</x:f>
      </x:c>
      <x:c r="P72" t="str">
        <x:f>IF(H72="","",IFERROR((5-MATCH(H72,LOOKUPS!$G$2:$G$6,0))*25,"INVALID"))</x:f>
      </x:c>
      <x:c r="Q72" t="str">
        <x:f>IF(I72="","",IF(I72="We have a full water system in-house (not dependent on any provider)","N/A",IFERROR((5-MATCH(I72,LOOKUPS!$H$2:$H$7,0))*25,"INVALID")))</x:f>
      </x:c>
      <x:c r="R72" t="str">
        <x:f>IF(COUNTIF(J72:Q72,"INVALID")&gt;0,"",IF(COUNT(J72:Q72)=0,"",ROUND(AVERAGE(J72:Q72),6)))</x:f>
      </x:c>
      <x:c r="S72" t="str">
        <x:f>IF(COUNTIF(J72:Q72,"INVALID")&gt;0,"INVALID",IF(COUNT(J72:Q72)=0,"NOT ENTERED",IF(COUNT(J72:Q72)&lt;7,"LOW COVERAGE","VALID")))</x:f>
        <x:v>NOT ENTERED</x:v>
      </x:c>
    </x:row>
    <x:row r="73">
      <x:c r="J73" t="str">
        <x:f>IF(B73="","",IFERROR((5-MATCH(B73,LOOKUPS!$A$2:$A$6,0))*25,"INVALID"))</x:f>
      </x:c>
      <x:c r="K73" t="str">
        <x:f>IF(C73="","",IFERROR((5-MATCH(C73,LOOKUPS!$B$2:$B$6,0))*25,"INVALID"))</x:f>
      </x:c>
      <x:c r="L73" t="str">
        <x:f>IF(D73="","",IFERROR((5-MATCH(D73,LOOKUPS!$C$2:$C$6,0))*25,"INVALID"))</x:f>
      </x:c>
      <x:c r="M73" t="str">
        <x:f>IF(E73="","",IFERROR((5-MATCH(E73,LOOKUPS!$D$2:$D$6,0))*25,"INVALID"))</x:f>
      </x:c>
      <x:c r="N73" t="str">
        <x:f>IF(F73="","",IFERROR((5-MATCH(F73,LOOKUPS!$E$2:$E$6,0))*25,"INVALID"))</x:f>
      </x:c>
      <x:c r="O73" t="str">
        <x:f>IF(G73="","",IFERROR((5-MATCH(G73,LOOKUPS!$F$2:$F$6,0))*25,"INVALID"))</x:f>
      </x:c>
      <x:c r="P73" t="str">
        <x:f>IF(H73="","",IFERROR((5-MATCH(H73,LOOKUPS!$G$2:$G$6,0))*25,"INVALID"))</x:f>
      </x:c>
      <x:c r="Q73" t="str">
        <x:f>IF(I73="","",IF(I73="We have a full water system in-house (not dependent on any provider)","N/A",IFERROR((5-MATCH(I73,LOOKUPS!$H$2:$H$7,0))*25,"INVALID")))</x:f>
      </x:c>
      <x:c r="R73" t="str">
        <x:f>IF(COUNTIF(J73:Q73,"INVALID")&gt;0,"",IF(COUNT(J73:Q73)=0,"",ROUND(AVERAGE(J73:Q73),6)))</x:f>
      </x:c>
      <x:c r="S73" t="str">
        <x:f>IF(COUNTIF(J73:Q73,"INVALID")&gt;0,"INVALID",IF(COUNT(J73:Q73)=0,"NOT ENTERED",IF(COUNT(J73:Q73)&lt;7,"LOW COVERAGE","VALID")))</x:f>
        <x:v>NOT ENTERED</x:v>
      </x:c>
    </x:row>
    <x:row r="74">
      <x:c r="J74" t="str">
        <x:f>IF(B74="","",IFERROR((5-MATCH(B74,LOOKUPS!$A$2:$A$6,0))*25,"INVALID"))</x:f>
      </x:c>
      <x:c r="K74" t="str">
        <x:f>IF(C74="","",IFERROR((5-MATCH(C74,LOOKUPS!$B$2:$B$6,0))*25,"INVALID"))</x:f>
      </x:c>
      <x:c r="L74" t="str">
        <x:f>IF(D74="","",IFERROR((5-MATCH(D74,LOOKUPS!$C$2:$C$6,0))*25,"INVALID"))</x:f>
      </x:c>
      <x:c r="M74" t="str">
        <x:f>IF(E74="","",IFERROR((5-MATCH(E74,LOOKUPS!$D$2:$D$6,0))*25,"INVALID"))</x:f>
      </x:c>
      <x:c r="N74" t="str">
        <x:f>IF(F74="","",IFERROR((5-MATCH(F74,LOOKUPS!$E$2:$E$6,0))*25,"INVALID"))</x:f>
      </x:c>
      <x:c r="O74" t="str">
        <x:f>IF(G74="","",IFERROR((5-MATCH(G74,LOOKUPS!$F$2:$F$6,0))*25,"INVALID"))</x:f>
      </x:c>
      <x:c r="P74" t="str">
        <x:f>IF(H74="","",IFERROR((5-MATCH(H74,LOOKUPS!$G$2:$G$6,0))*25,"INVALID"))</x:f>
      </x:c>
      <x:c r="Q74" t="str">
        <x:f>IF(I74="","",IF(I74="We have a full water system in-house (not dependent on any provider)","N/A",IFERROR((5-MATCH(I74,LOOKUPS!$H$2:$H$7,0))*25,"INVALID")))</x:f>
      </x:c>
      <x:c r="R74" t="str">
        <x:f>IF(COUNTIF(J74:Q74,"INVALID")&gt;0,"",IF(COUNT(J74:Q74)=0,"",ROUND(AVERAGE(J74:Q74),6)))</x:f>
      </x:c>
      <x:c r="S74" t="str">
        <x:f>IF(COUNTIF(J74:Q74,"INVALID")&gt;0,"INVALID",IF(COUNT(J74:Q74)=0,"NOT ENTERED",IF(COUNT(J74:Q74)&lt;7,"LOW COVERAGE","VALID")))</x:f>
        <x:v>NOT ENTERED</x:v>
      </x:c>
    </x:row>
    <x:row r="75">
      <x:c r="J75" t="str">
        <x:f>IF(B75="","",IFERROR((5-MATCH(B75,LOOKUPS!$A$2:$A$6,0))*25,"INVALID"))</x:f>
      </x:c>
      <x:c r="K75" t="str">
        <x:f>IF(C75="","",IFERROR((5-MATCH(C75,LOOKUPS!$B$2:$B$6,0))*25,"INVALID"))</x:f>
      </x:c>
      <x:c r="L75" t="str">
        <x:f>IF(D75="","",IFERROR((5-MATCH(D75,LOOKUPS!$C$2:$C$6,0))*25,"INVALID"))</x:f>
      </x:c>
      <x:c r="M75" t="str">
        <x:f>IF(E75="","",IFERROR((5-MATCH(E75,LOOKUPS!$D$2:$D$6,0))*25,"INVALID"))</x:f>
      </x:c>
      <x:c r="N75" t="str">
        <x:f>IF(F75="","",IFERROR((5-MATCH(F75,LOOKUPS!$E$2:$E$6,0))*25,"INVALID"))</x:f>
      </x:c>
      <x:c r="O75" t="str">
        <x:f>IF(G75="","",IFERROR((5-MATCH(G75,LOOKUPS!$F$2:$F$6,0))*25,"INVALID"))</x:f>
      </x:c>
      <x:c r="P75" t="str">
        <x:f>IF(H75="","",IFERROR((5-MATCH(H75,LOOKUPS!$G$2:$G$6,0))*25,"INVALID"))</x:f>
      </x:c>
      <x:c r="Q75" t="str">
        <x:f>IF(I75="","",IF(I75="We have a full water system in-house (not dependent on any provider)","N/A",IFERROR((5-MATCH(I75,LOOKUPS!$H$2:$H$7,0))*25,"INVALID")))</x:f>
      </x:c>
      <x:c r="R75" t="str">
        <x:f>IF(COUNTIF(J75:Q75,"INVALID")&gt;0,"",IF(COUNT(J75:Q75)=0,"",ROUND(AVERAGE(J75:Q75),6)))</x:f>
      </x:c>
      <x:c r="S75" t="str">
        <x:f>IF(COUNTIF(J75:Q75,"INVALID")&gt;0,"INVALID",IF(COUNT(J75:Q75)=0,"NOT ENTERED",IF(COUNT(J75:Q75)&lt;7,"LOW COVERAGE","VALID")))</x:f>
        <x:v>NOT ENTERED</x:v>
      </x:c>
    </x:row>
    <x:row r="76">
      <x:c r="J76" t="str">
        <x:f>IF(B76="","",IFERROR((5-MATCH(B76,LOOKUPS!$A$2:$A$6,0))*25,"INVALID"))</x:f>
      </x:c>
      <x:c r="K76" t="str">
        <x:f>IF(C76="","",IFERROR((5-MATCH(C76,LOOKUPS!$B$2:$B$6,0))*25,"INVALID"))</x:f>
      </x:c>
      <x:c r="L76" t="str">
        <x:f>IF(D76="","",IFERROR((5-MATCH(D76,LOOKUPS!$C$2:$C$6,0))*25,"INVALID"))</x:f>
      </x:c>
      <x:c r="M76" t="str">
        <x:f>IF(E76="","",IFERROR((5-MATCH(E76,LOOKUPS!$D$2:$D$6,0))*25,"INVALID"))</x:f>
      </x:c>
      <x:c r="N76" t="str">
        <x:f>IF(F76="","",IFERROR((5-MATCH(F76,LOOKUPS!$E$2:$E$6,0))*25,"INVALID"))</x:f>
      </x:c>
      <x:c r="O76" t="str">
        <x:f>IF(G76="","",IFERROR((5-MATCH(G76,LOOKUPS!$F$2:$F$6,0))*25,"INVALID"))</x:f>
      </x:c>
      <x:c r="P76" t="str">
        <x:f>IF(H76="","",IFERROR((5-MATCH(H76,LOOKUPS!$G$2:$G$6,0))*25,"INVALID"))</x:f>
      </x:c>
      <x:c r="Q76" t="str">
        <x:f>IF(I76="","",IF(I76="We have a full water system in-house (not dependent on any provider)","N/A",IFERROR((5-MATCH(I76,LOOKUPS!$H$2:$H$7,0))*25,"INVALID")))</x:f>
      </x:c>
      <x:c r="R76" t="str">
        <x:f>IF(COUNTIF(J76:Q76,"INVALID")&gt;0,"",IF(COUNT(J76:Q76)=0,"",ROUND(AVERAGE(J76:Q76),6)))</x:f>
      </x:c>
      <x:c r="S76" t="str">
        <x:f>IF(COUNTIF(J76:Q76,"INVALID")&gt;0,"INVALID",IF(COUNT(J76:Q76)=0,"NOT ENTERED",IF(COUNT(J76:Q76)&lt;7,"LOW COVERAGE","VALID")))</x:f>
        <x:v>NOT ENTERED</x:v>
      </x:c>
    </x:row>
    <x:row r="77">
      <x:c r="J77" t="str">
        <x:f>IF(B77="","",IFERROR((5-MATCH(B77,LOOKUPS!$A$2:$A$6,0))*25,"INVALID"))</x:f>
      </x:c>
      <x:c r="K77" t="str">
        <x:f>IF(C77="","",IFERROR((5-MATCH(C77,LOOKUPS!$B$2:$B$6,0))*25,"INVALID"))</x:f>
      </x:c>
      <x:c r="L77" t="str">
        <x:f>IF(D77="","",IFERROR((5-MATCH(D77,LOOKUPS!$C$2:$C$6,0))*25,"INVALID"))</x:f>
      </x:c>
      <x:c r="M77" t="str">
        <x:f>IF(E77="","",IFERROR((5-MATCH(E77,LOOKUPS!$D$2:$D$6,0))*25,"INVALID"))</x:f>
      </x:c>
      <x:c r="N77" t="str">
        <x:f>IF(F77="","",IFERROR((5-MATCH(F77,LOOKUPS!$E$2:$E$6,0))*25,"INVALID"))</x:f>
      </x:c>
      <x:c r="O77" t="str">
        <x:f>IF(G77="","",IFERROR((5-MATCH(G77,LOOKUPS!$F$2:$F$6,0))*25,"INVALID"))</x:f>
      </x:c>
      <x:c r="P77" t="str">
        <x:f>IF(H77="","",IFERROR((5-MATCH(H77,LOOKUPS!$G$2:$G$6,0))*25,"INVALID"))</x:f>
      </x:c>
      <x:c r="Q77" t="str">
        <x:f>IF(I77="","",IF(I77="We have a full water system in-house (not dependent on any provider)","N/A",IFERROR((5-MATCH(I77,LOOKUPS!$H$2:$H$7,0))*25,"INVALID")))</x:f>
      </x:c>
      <x:c r="R77" t="str">
        <x:f>IF(COUNTIF(J77:Q77,"INVALID")&gt;0,"",IF(COUNT(J77:Q77)=0,"",ROUND(AVERAGE(J77:Q77),6)))</x:f>
      </x:c>
      <x:c r="S77" t="str">
        <x:f>IF(COUNTIF(J77:Q77,"INVALID")&gt;0,"INVALID",IF(COUNT(J77:Q77)=0,"NOT ENTERED",IF(COUNT(J77:Q77)&lt;7,"LOW COVERAGE","VALID")))</x:f>
        <x:v>NOT ENTERED</x:v>
      </x:c>
    </x:row>
    <x:row r="78">
      <x:c r="J78" t="str">
        <x:f>IF(B78="","",IFERROR((5-MATCH(B78,LOOKUPS!$A$2:$A$6,0))*25,"INVALID"))</x:f>
      </x:c>
      <x:c r="K78" t="str">
        <x:f>IF(C78="","",IFERROR((5-MATCH(C78,LOOKUPS!$B$2:$B$6,0))*25,"INVALID"))</x:f>
      </x:c>
      <x:c r="L78" t="str">
        <x:f>IF(D78="","",IFERROR((5-MATCH(D78,LOOKUPS!$C$2:$C$6,0))*25,"INVALID"))</x:f>
      </x:c>
      <x:c r="M78" t="str">
        <x:f>IF(E78="","",IFERROR((5-MATCH(E78,LOOKUPS!$D$2:$D$6,0))*25,"INVALID"))</x:f>
      </x:c>
      <x:c r="N78" t="str">
        <x:f>IF(F78="","",IFERROR((5-MATCH(F78,LOOKUPS!$E$2:$E$6,0))*25,"INVALID"))</x:f>
      </x:c>
      <x:c r="O78" t="str">
        <x:f>IF(G78="","",IFERROR((5-MATCH(G78,LOOKUPS!$F$2:$F$6,0))*25,"INVALID"))</x:f>
      </x:c>
      <x:c r="P78" t="str">
        <x:f>IF(H78="","",IFERROR((5-MATCH(H78,LOOKUPS!$G$2:$G$6,0))*25,"INVALID"))</x:f>
      </x:c>
      <x:c r="Q78" t="str">
        <x:f>IF(I78="","",IF(I78="We have a full water system in-house (not dependent on any provider)","N/A",IFERROR((5-MATCH(I78,LOOKUPS!$H$2:$H$7,0))*25,"INVALID")))</x:f>
      </x:c>
      <x:c r="R78" t="str">
        <x:f>IF(COUNTIF(J78:Q78,"INVALID")&gt;0,"",IF(COUNT(J78:Q78)=0,"",ROUND(AVERAGE(J78:Q78),6)))</x:f>
      </x:c>
      <x:c r="S78" t="str">
        <x:f>IF(COUNTIF(J78:Q78,"INVALID")&gt;0,"INVALID",IF(COUNT(J78:Q78)=0,"NOT ENTERED",IF(COUNT(J78:Q78)&lt;7,"LOW COVERAGE","VALID")))</x:f>
        <x:v>NOT ENTERED</x:v>
      </x:c>
    </x:row>
    <x:row r="79">
      <x:c r="J79" t="str">
        <x:f>IF(B79="","",IFERROR((5-MATCH(B79,LOOKUPS!$A$2:$A$6,0))*25,"INVALID"))</x:f>
      </x:c>
      <x:c r="K79" t="str">
        <x:f>IF(C79="","",IFERROR((5-MATCH(C79,LOOKUPS!$B$2:$B$6,0))*25,"INVALID"))</x:f>
      </x:c>
      <x:c r="L79" t="str">
        <x:f>IF(D79="","",IFERROR((5-MATCH(D79,LOOKUPS!$C$2:$C$6,0))*25,"INVALID"))</x:f>
      </x:c>
      <x:c r="M79" t="str">
        <x:f>IF(E79="","",IFERROR((5-MATCH(E79,LOOKUPS!$D$2:$D$6,0))*25,"INVALID"))</x:f>
      </x:c>
      <x:c r="N79" t="str">
        <x:f>IF(F79="","",IFERROR((5-MATCH(F79,LOOKUPS!$E$2:$E$6,0))*25,"INVALID"))</x:f>
      </x:c>
      <x:c r="O79" t="str">
        <x:f>IF(G79="","",IFERROR((5-MATCH(G79,LOOKUPS!$F$2:$F$6,0))*25,"INVALID"))</x:f>
      </x:c>
      <x:c r="P79" t="str">
        <x:f>IF(H79="","",IFERROR((5-MATCH(H79,LOOKUPS!$G$2:$G$6,0))*25,"INVALID"))</x:f>
      </x:c>
      <x:c r="Q79" t="str">
        <x:f>IF(I79="","",IF(I79="We have a full water system in-house (not dependent on any provider)","N/A",IFERROR((5-MATCH(I79,LOOKUPS!$H$2:$H$7,0))*25,"INVALID")))</x:f>
      </x:c>
      <x:c r="R79" t="str">
        <x:f>IF(COUNTIF(J79:Q79,"INVALID")&gt;0,"",IF(COUNT(J79:Q79)=0,"",ROUND(AVERAGE(J79:Q79),6)))</x:f>
      </x:c>
      <x:c r="S79" t="str">
        <x:f>IF(COUNTIF(J79:Q79,"INVALID")&gt;0,"INVALID",IF(COUNT(J79:Q79)=0,"NOT ENTERED",IF(COUNT(J79:Q79)&lt;7,"LOW COVERAGE","VALID")))</x:f>
        <x:v>NOT ENTERED</x:v>
      </x:c>
    </x:row>
    <x:row r="80">
      <x:c r="J80" t="str">
        <x:f>IF(B80="","",IFERROR((5-MATCH(B80,LOOKUPS!$A$2:$A$6,0))*25,"INVALID"))</x:f>
      </x:c>
      <x:c r="K80" t="str">
        <x:f>IF(C80="","",IFERROR((5-MATCH(C80,LOOKUPS!$B$2:$B$6,0))*25,"INVALID"))</x:f>
      </x:c>
      <x:c r="L80" t="str">
        <x:f>IF(D80="","",IFERROR((5-MATCH(D80,LOOKUPS!$C$2:$C$6,0))*25,"INVALID"))</x:f>
      </x:c>
      <x:c r="M80" t="str">
        <x:f>IF(E80="","",IFERROR((5-MATCH(E80,LOOKUPS!$D$2:$D$6,0))*25,"INVALID"))</x:f>
      </x:c>
      <x:c r="N80" t="str">
        <x:f>IF(F80="","",IFERROR((5-MATCH(F80,LOOKUPS!$E$2:$E$6,0))*25,"INVALID"))</x:f>
      </x:c>
      <x:c r="O80" t="str">
        <x:f>IF(G80="","",IFERROR((5-MATCH(G80,LOOKUPS!$F$2:$F$6,0))*25,"INVALID"))</x:f>
      </x:c>
      <x:c r="P80" t="str">
        <x:f>IF(H80="","",IFERROR((5-MATCH(H80,LOOKUPS!$G$2:$G$6,0))*25,"INVALID"))</x:f>
      </x:c>
      <x:c r="Q80" t="str">
        <x:f>IF(I80="","",IF(I80="We have a full water system in-house (not dependent on any provider)","N/A",IFERROR((5-MATCH(I80,LOOKUPS!$H$2:$H$7,0))*25,"INVALID")))</x:f>
      </x:c>
      <x:c r="R80" t="str">
        <x:f>IF(COUNTIF(J80:Q80,"INVALID")&gt;0,"",IF(COUNT(J80:Q80)=0,"",ROUND(AVERAGE(J80:Q80),6)))</x:f>
      </x:c>
      <x:c r="S80" t="str">
        <x:f>IF(COUNTIF(J80:Q80,"INVALID")&gt;0,"INVALID",IF(COUNT(J80:Q80)=0,"NOT ENTERED",IF(COUNT(J80:Q80)&lt;7,"LOW COVERAGE","VALID")))</x:f>
        <x:v>NOT ENTERED</x:v>
      </x:c>
    </x:row>
    <x:row r="81">
      <x:c r="J81" t="str">
        <x:f>IF(B81="","",IFERROR((5-MATCH(B81,LOOKUPS!$A$2:$A$6,0))*25,"INVALID"))</x:f>
      </x:c>
      <x:c r="K81" t="str">
        <x:f>IF(C81="","",IFERROR((5-MATCH(C81,LOOKUPS!$B$2:$B$6,0))*25,"INVALID"))</x:f>
      </x:c>
      <x:c r="L81" t="str">
        <x:f>IF(D81="","",IFERROR((5-MATCH(D81,LOOKUPS!$C$2:$C$6,0))*25,"INVALID"))</x:f>
      </x:c>
      <x:c r="M81" t="str">
        <x:f>IF(E81="","",IFERROR((5-MATCH(E81,LOOKUPS!$D$2:$D$6,0))*25,"INVALID"))</x:f>
      </x:c>
      <x:c r="N81" t="str">
        <x:f>IF(F81="","",IFERROR((5-MATCH(F81,LOOKUPS!$E$2:$E$6,0))*25,"INVALID"))</x:f>
      </x:c>
      <x:c r="O81" t="str">
        <x:f>IF(G81="","",IFERROR((5-MATCH(G81,LOOKUPS!$F$2:$F$6,0))*25,"INVALID"))</x:f>
      </x:c>
      <x:c r="P81" t="str">
        <x:f>IF(H81="","",IFERROR((5-MATCH(H81,LOOKUPS!$G$2:$G$6,0))*25,"INVALID"))</x:f>
      </x:c>
      <x:c r="Q81" t="str">
        <x:f>IF(I81="","",IF(I81="We have a full water system in-house (not dependent on any provider)","N/A",IFERROR((5-MATCH(I81,LOOKUPS!$H$2:$H$7,0))*25,"INVALID")))</x:f>
      </x:c>
      <x:c r="R81" t="str">
        <x:f>IF(COUNTIF(J81:Q81,"INVALID")&gt;0,"",IF(COUNT(J81:Q81)=0,"",ROUND(AVERAGE(J81:Q81),6)))</x:f>
      </x:c>
      <x:c r="S81" t="str">
        <x:f>IF(COUNTIF(J81:Q81,"INVALID")&gt;0,"INVALID",IF(COUNT(J81:Q81)=0,"NOT ENTERED",IF(COUNT(J81:Q81)&lt;7,"LOW COVERAGE","VALID")))</x:f>
        <x:v>NOT ENTERED</x:v>
      </x:c>
    </x:row>
    <x:row r="82">
      <x:c r="J82" t="str">
        <x:f>IF(B82="","",IFERROR((5-MATCH(B82,LOOKUPS!$A$2:$A$6,0))*25,"INVALID"))</x:f>
      </x:c>
      <x:c r="K82" t="str">
        <x:f>IF(C82="","",IFERROR((5-MATCH(C82,LOOKUPS!$B$2:$B$6,0))*25,"INVALID"))</x:f>
      </x:c>
      <x:c r="L82" t="str">
        <x:f>IF(D82="","",IFERROR((5-MATCH(D82,LOOKUPS!$C$2:$C$6,0))*25,"INVALID"))</x:f>
      </x:c>
      <x:c r="M82" t="str">
        <x:f>IF(E82="","",IFERROR((5-MATCH(E82,LOOKUPS!$D$2:$D$6,0))*25,"INVALID"))</x:f>
      </x:c>
      <x:c r="N82" t="str">
        <x:f>IF(F82="","",IFERROR((5-MATCH(F82,LOOKUPS!$E$2:$E$6,0))*25,"INVALID"))</x:f>
      </x:c>
      <x:c r="O82" t="str">
        <x:f>IF(G82="","",IFERROR((5-MATCH(G82,LOOKUPS!$F$2:$F$6,0))*25,"INVALID"))</x:f>
      </x:c>
      <x:c r="P82" t="str">
        <x:f>IF(H82="","",IFERROR((5-MATCH(H82,LOOKUPS!$G$2:$G$6,0))*25,"INVALID"))</x:f>
      </x:c>
      <x:c r="Q82" t="str">
        <x:f>IF(I82="","",IF(I82="We have a full water system in-house (not dependent on any provider)","N/A",IFERROR((5-MATCH(I82,LOOKUPS!$H$2:$H$7,0))*25,"INVALID")))</x:f>
      </x:c>
      <x:c r="R82" t="str">
        <x:f>IF(COUNTIF(J82:Q82,"INVALID")&gt;0,"",IF(COUNT(J82:Q82)=0,"",ROUND(AVERAGE(J82:Q82),6)))</x:f>
      </x:c>
      <x:c r="S82" t="str">
        <x:f>IF(COUNTIF(J82:Q82,"INVALID")&gt;0,"INVALID",IF(COUNT(J82:Q82)=0,"NOT ENTERED",IF(COUNT(J82:Q82)&lt;7,"LOW COVERAGE","VALID")))</x:f>
        <x:v>NOT ENTERED</x:v>
      </x:c>
    </x:row>
    <x:row r="83">
      <x:c r="J83" t="str">
        <x:f>IF(B83="","",IFERROR((5-MATCH(B83,LOOKUPS!$A$2:$A$6,0))*25,"INVALID"))</x:f>
      </x:c>
      <x:c r="K83" t="str">
        <x:f>IF(C83="","",IFERROR((5-MATCH(C83,LOOKUPS!$B$2:$B$6,0))*25,"INVALID"))</x:f>
      </x:c>
      <x:c r="L83" t="str">
        <x:f>IF(D83="","",IFERROR((5-MATCH(D83,LOOKUPS!$C$2:$C$6,0))*25,"INVALID"))</x:f>
      </x:c>
      <x:c r="M83" t="str">
        <x:f>IF(E83="","",IFERROR((5-MATCH(E83,LOOKUPS!$D$2:$D$6,0))*25,"INVALID"))</x:f>
      </x:c>
      <x:c r="N83" t="str">
        <x:f>IF(F83="","",IFERROR((5-MATCH(F83,LOOKUPS!$E$2:$E$6,0))*25,"INVALID"))</x:f>
      </x:c>
      <x:c r="O83" t="str">
        <x:f>IF(G83="","",IFERROR((5-MATCH(G83,LOOKUPS!$F$2:$F$6,0))*25,"INVALID"))</x:f>
      </x:c>
      <x:c r="P83" t="str">
        <x:f>IF(H83="","",IFERROR((5-MATCH(H83,LOOKUPS!$G$2:$G$6,0))*25,"INVALID"))</x:f>
      </x:c>
      <x:c r="Q83" t="str">
        <x:f>IF(I83="","",IF(I83="We have a full water system in-house (not dependent on any provider)","N/A",IFERROR((5-MATCH(I83,LOOKUPS!$H$2:$H$7,0))*25,"INVALID")))</x:f>
      </x:c>
      <x:c r="R83" t="str">
        <x:f>IF(COUNTIF(J83:Q83,"INVALID")&gt;0,"",IF(COUNT(J83:Q83)=0,"",ROUND(AVERAGE(J83:Q83),6)))</x:f>
      </x:c>
      <x:c r="S83" t="str">
        <x:f>IF(COUNTIF(J83:Q83,"INVALID")&gt;0,"INVALID",IF(COUNT(J83:Q83)=0,"NOT ENTERED",IF(COUNT(J83:Q83)&lt;7,"LOW COVERAGE","VALID")))</x:f>
        <x:v>NOT ENTERED</x:v>
      </x:c>
    </x:row>
    <x:row r="84">
      <x:c r="J84" t="str">
        <x:f>IF(B84="","",IFERROR((5-MATCH(B84,LOOKUPS!$A$2:$A$6,0))*25,"INVALID"))</x:f>
      </x:c>
      <x:c r="K84" t="str">
        <x:f>IF(C84="","",IFERROR((5-MATCH(C84,LOOKUPS!$B$2:$B$6,0))*25,"INVALID"))</x:f>
      </x:c>
      <x:c r="L84" t="str">
        <x:f>IF(D84="","",IFERROR((5-MATCH(D84,LOOKUPS!$C$2:$C$6,0))*25,"INVALID"))</x:f>
      </x:c>
      <x:c r="M84" t="str">
        <x:f>IF(E84="","",IFERROR((5-MATCH(E84,LOOKUPS!$D$2:$D$6,0))*25,"INVALID"))</x:f>
      </x:c>
      <x:c r="N84" t="str">
        <x:f>IF(F84="","",IFERROR((5-MATCH(F84,LOOKUPS!$E$2:$E$6,0))*25,"INVALID"))</x:f>
      </x:c>
      <x:c r="O84" t="str">
        <x:f>IF(G84="","",IFERROR((5-MATCH(G84,LOOKUPS!$F$2:$F$6,0))*25,"INVALID"))</x:f>
      </x:c>
      <x:c r="P84" t="str">
        <x:f>IF(H84="","",IFERROR((5-MATCH(H84,LOOKUPS!$G$2:$G$6,0))*25,"INVALID"))</x:f>
      </x:c>
      <x:c r="Q84" t="str">
        <x:f>IF(I84="","",IF(I84="We have a full water system in-house (not dependent on any provider)","N/A",IFERROR((5-MATCH(I84,LOOKUPS!$H$2:$H$7,0))*25,"INVALID")))</x:f>
      </x:c>
      <x:c r="R84" t="str">
        <x:f>IF(COUNTIF(J84:Q84,"INVALID")&gt;0,"",IF(COUNT(J84:Q84)=0,"",ROUND(AVERAGE(J84:Q84),6)))</x:f>
      </x:c>
      <x:c r="S84" t="str">
        <x:f>IF(COUNTIF(J84:Q84,"INVALID")&gt;0,"INVALID",IF(COUNT(J84:Q84)=0,"NOT ENTERED",IF(COUNT(J84:Q84)&lt;7,"LOW COVERAGE","VALID")))</x:f>
        <x:v>NOT ENTERED</x:v>
      </x:c>
    </x:row>
    <x:row r="85">
      <x:c r="J85" t="str">
        <x:f>IF(B85="","",IFERROR((5-MATCH(B85,LOOKUPS!$A$2:$A$6,0))*25,"INVALID"))</x:f>
      </x:c>
      <x:c r="K85" t="str">
        <x:f>IF(C85="","",IFERROR((5-MATCH(C85,LOOKUPS!$B$2:$B$6,0))*25,"INVALID"))</x:f>
      </x:c>
      <x:c r="L85" t="str">
        <x:f>IF(D85="","",IFERROR((5-MATCH(D85,LOOKUPS!$C$2:$C$6,0))*25,"INVALID"))</x:f>
      </x:c>
      <x:c r="M85" t="str">
        <x:f>IF(E85="","",IFERROR((5-MATCH(E85,LOOKUPS!$D$2:$D$6,0))*25,"INVALID"))</x:f>
      </x:c>
      <x:c r="N85" t="str">
        <x:f>IF(F85="","",IFERROR((5-MATCH(F85,LOOKUPS!$E$2:$E$6,0))*25,"INVALID"))</x:f>
      </x:c>
      <x:c r="O85" t="str">
        <x:f>IF(G85="","",IFERROR((5-MATCH(G85,LOOKUPS!$F$2:$F$6,0))*25,"INVALID"))</x:f>
      </x:c>
      <x:c r="P85" t="str">
        <x:f>IF(H85="","",IFERROR((5-MATCH(H85,LOOKUPS!$G$2:$G$6,0))*25,"INVALID"))</x:f>
      </x:c>
      <x:c r="Q85" t="str">
        <x:f>IF(I85="","",IF(I85="We have a full water system in-house (not dependent on any provider)","N/A",IFERROR((5-MATCH(I85,LOOKUPS!$H$2:$H$7,0))*25,"INVALID")))</x:f>
      </x:c>
      <x:c r="R85" t="str">
        <x:f>IF(COUNTIF(J85:Q85,"INVALID")&gt;0,"",IF(COUNT(J85:Q85)=0,"",ROUND(AVERAGE(J85:Q85),6)))</x:f>
      </x:c>
      <x:c r="S85" t="str">
        <x:f>IF(COUNTIF(J85:Q85,"INVALID")&gt;0,"INVALID",IF(COUNT(J85:Q85)=0,"NOT ENTERED",IF(COUNT(J85:Q85)&lt;7,"LOW COVERAGE","VALID")))</x:f>
        <x:v>NOT ENTERED</x:v>
      </x:c>
    </x:row>
    <x:row r="86">
      <x:c r="J86" t="str">
        <x:f>IF(B86="","",IFERROR((5-MATCH(B86,LOOKUPS!$A$2:$A$6,0))*25,"INVALID"))</x:f>
      </x:c>
      <x:c r="K86" t="str">
        <x:f>IF(C86="","",IFERROR((5-MATCH(C86,LOOKUPS!$B$2:$B$6,0))*25,"INVALID"))</x:f>
      </x:c>
      <x:c r="L86" t="str">
        <x:f>IF(D86="","",IFERROR((5-MATCH(D86,LOOKUPS!$C$2:$C$6,0))*25,"INVALID"))</x:f>
      </x:c>
      <x:c r="M86" t="str">
        <x:f>IF(E86="","",IFERROR((5-MATCH(E86,LOOKUPS!$D$2:$D$6,0))*25,"INVALID"))</x:f>
      </x:c>
      <x:c r="N86" t="str">
        <x:f>IF(F86="","",IFERROR((5-MATCH(F86,LOOKUPS!$E$2:$E$6,0))*25,"INVALID"))</x:f>
      </x:c>
      <x:c r="O86" t="str">
        <x:f>IF(G86="","",IFERROR((5-MATCH(G86,LOOKUPS!$F$2:$F$6,0))*25,"INVALID"))</x:f>
      </x:c>
      <x:c r="P86" t="str">
        <x:f>IF(H86="","",IFERROR((5-MATCH(H86,LOOKUPS!$G$2:$G$6,0))*25,"INVALID"))</x:f>
      </x:c>
      <x:c r="Q86" t="str">
        <x:f>IF(I86="","",IF(I86="We have a full water system in-house (not dependent on any provider)","N/A",IFERROR((5-MATCH(I86,LOOKUPS!$H$2:$H$7,0))*25,"INVALID")))</x:f>
      </x:c>
      <x:c r="R86" t="str">
        <x:f>IF(COUNTIF(J86:Q86,"INVALID")&gt;0,"",IF(COUNT(J86:Q86)=0,"",ROUND(AVERAGE(J86:Q86),6)))</x:f>
      </x:c>
      <x:c r="S86" t="str">
        <x:f>IF(COUNTIF(J86:Q86,"INVALID")&gt;0,"INVALID",IF(COUNT(J86:Q86)=0,"NOT ENTERED",IF(COUNT(J86:Q86)&lt;7,"LOW COVERAGE","VALID")))</x:f>
        <x:v>NOT ENTERED</x:v>
      </x:c>
    </x:row>
    <x:row r="87">
      <x:c r="J87" t="str">
        <x:f>IF(B87="","",IFERROR((5-MATCH(B87,LOOKUPS!$A$2:$A$6,0))*25,"INVALID"))</x:f>
      </x:c>
      <x:c r="K87" t="str">
        <x:f>IF(C87="","",IFERROR((5-MATCH(C87,LOOKUPS!$B$2:$B$6,0))*25,"INVALID"))</x:f>
      </x:c>
      <x:c r="L87" t="str">
        <x:f>IF(D87="","",IFERROR((5-MATCH(D87,LOOKUPS!$C$2:$C$6,0))*25,"INVALID"))</x:f>
      </x:c>
      <x:c r="M87" t="str">
        <x:f>IF(E87="","",IFERROR((5-MATCH(E87,LOOKUPS!$D$2:$D$6,0))*25,"INVALID"))</x:f>
      </x:c>
      <x:c r="N87" t="str">
        <x:f>IF(F87="","",IFERROR((5-MATCH(F87,LOOKUPS!$E$2:$E$6,0))*25,"INVALID"))</x:f>
      </x:c>
      <x:c r="O87" t="str">
        <x:f>IF(G87="","",IFERROR((5-MATCH(G87,LOOKUPS!$F$2:$F$6,0))*25,"INVALID"))</x:f>
      </x:c>
      <x:c r="P87" t="str">
        <x:f>IF(H87="","",IFERROR((5-MATCH(H87,LOOKUPS!$G$2:$G$6,0))*25,"INVALID"))</x:f>
      </x:c>
      <x:c r="Q87" t="str">
        <x:f>IF(I87="","",IF(I87="We have a full water system in-house (not dependent on any provider)","N/A",IFERROR((5-MATCH(I87,LOOKUPS!$H$2:$H$7,0))*25,"INVALID")))</x:f>
      </x:c>
      <x:c r="R87" t="str">
        <x:f>IF(COUNTIF(J87:Q87,"INVALID")&gt;0,"",IF(COUNT(J87:Q87)=0,"",ROUND(AVERAGE(J87:Q87),6)))</x:f>
      </x:c>
      <x:c r="S87" t="str">
        <x:f>IF(COUNTIF(J87:Q87,"INVALID")&gt;0,"INVALID",IF(COUNT(J87:Q87)=0,"NOT ENTERED",IF(COUNT(J87:Q87)&lt;7,"LOW COVERAGE","VALID")))</x:f>
        <x:v>NOT ENTERED</x:v>
      </x:c>
    </x:row>
    <x:row r="88">
      <x:c r="J88" t="str">
        <x:f>IF(B88="","",IFERROR((5-MATCH(B88,LOOKUPS!$A$2:$A$6,0))*25,"INVALID"))</x:f>
      </x:c>
      <x:c r="K88" t="str">
        <x:f>IF(C88="","",IFERROR((5-MATCH(C88,LOOKUPS!$B$2:$B$6,0))*25,"INVALID"))</x:f>
      </x:c>
      <x:c r="L88" t="str">
        <x:f>IF(D88="","",IFERROR((5-MATCH(D88,LOOKUPS!$C$2:$C$6,0))*25,"INVALID"))</x:f>
      </x:c>
      <x:c r="M88" t="str">
        <x:f>IF(E88="","",IFERROR((5-MATCH(E88,LOOKUPS!$D$2:$D$6,0))*25,"INVALID"))</x:f>
      </x:c>
      <x:c r="N88" t="str">
        <x:f>IF(F88="","",IFERROR((5-MATCH(F88,LOOKUPS!$E$2:$E$6,0))*25,"INVALID"))</x:f>
      </x:c>
      <x:c r="O88" t="str">
        <x:f>IF(G88="","",IFERROR((5-MATCH(G88,LOOKUPS!$F$2:$F$6,0))*25,"INVALID"))</x:f>
      </x:c>
      <x:c r="P88" t="str">
        <x:f>IF(H88="","",IFERROR((5-MATCH(H88,LOOKUPS!$G$2:$G$6,0))*25,"INVALID"))</x:f>
      </x:c>
      <x:c r="Q88" t="str">
        <x:f>IF(I88="","",IF(I88="We have a full water system in-house (not dependent on any provider)","N/A",IFERROR((5-MATCH(I88,LOOKUPS!$H$2:$H$7,0))*25,"INVALID")))</x:f>
      </x:c>
      <x:c r="R88" t="str">
        <x:f>IF(COUNTIF(J88:Q88,"INVALID")&gt;0,"",IF(COUNT(J88:Q88)=0,"",ROUND(AVERAGE(J88:Q88),6)))</x:f>
      </x:c>
      <x:c r="S88" t="str">
        <x:f>IF(COUNTIF(J88:Q88,"INVALID")&gt;0,"INVALID",IF(COUNT(J88:Q88)=0,"NOT ENTERED",IF(COUNT(J88:Q88)&lt;7,"LOW COVERAGE","VALID")))</x:f>
        <x:v>NOT ENTERED</x:v>
      </x:c>
    </x:row>
    <x:row r="89">
      <x:c r="J89" t="str">
        <x:f>IF(B89="","",IFERROR((5-MATCH(B89,LOOKUPS!$A$2:$A$6,0))*25,"INVALID"))</x:f>
      </x:c>
      <x:c r="K89" t="str">
        <x:f>IF(C89="","",IFERROR((5-MATCH(C89,LOOKUPS!$B$2:$B$6,0))*25,"INVALID"))</x:f>
      </x:c>
      <x:c r="L89" t="str">
        <x:f>IF(D89="","",IFERROR((5-MATCH(D89,LOOKUPS!$C$2:$C$6,0))*25,"INVALID"))</x:f>
      </x:c>
      <x:c r="M89" t="str">
        <x:f>IF(E89="","",IFERROR((5-MATCH(E89,LOOKUPS!$D$2:$D$6,0))*25,"INVALID"))</x:f>
      </x:c>
      <x:c r="N89" t="str">
        <x:f>IF(F89="","",IFERROR((5-MATCH(F89,LOOKUPS!$E$2:$E$6,0))*25,"INVALID"))</x:f>
      </x:c>
      <x:c r="O89" t="str">
        <x:f>IF(G89="","",IFERROR((5-MATCH(G89,LOOKUPS!$F$2:$F$6,0))*25,"INVALID"))</x:f>
      </x:c>
      <x:c r="P89" t="str">
        <x:f>IF(H89="","",IFERROR((5-MATCH(H89,LOOKUPS!$G$2:$G$6,0))*25,"INVALID"))</x:f>
      </x:c>
      <x:c r="Q89" t="str">
        <x:f>IF(I89="","",IF(I89="We have a full water system in-house (not dependent on any provider)","N/A",IFERROR((5-MATCH(I89,LOOKUPS!$H$2:$H$7,0))*25,"INVALID")))</x:f>
      </x:c>
      <x:c r="R89" t="str">
        <x:f>IF(COUNTIF(J89:Q89,"INVALID")&gt;0,"",IF(COUNT(J89:Q89)=0,"",ROUND(AVERAGE(J89:Q89),6)))</x:f>
      </x:c>
      <x:c r="S89" t="str">
        <x:f>IF(COUNTIF(J89:Q89,"INVALID")&gt;0,"INVALID",IF(COUNT(J89:Q89)=0,"NOT ENTERED",IF(COUNT(J89:Q89)&lt;7,"LOW COVERAGE","VALID")))</x:f>
        <x:v>NOT ENTERED</x:v>
      </x:c>
    </x:row>
    <x:row r="90">
      <x:c r="J90" t="str">
        <x:f>IF(B90="","",IFERROR((5-MATCH(B90,LOOKUPS!$A$2:$A$6,0))*25,"INVALID"))</x:f>
      </x:c>
      <x:c r="K90" t="str">
        <x:f>IF(C90="","",IFERROR((5-MATCH(C90,LOOKUPS!$B$2:$B$6,0))*25,"INVALID"))</x:f>
      </x:c>
      <x:c r="L90" t="str">
        <x:f>IF(D90="","",IFERROR((5-MATCH(D90,LOOKUPS!$C$2:$C$6,0))*25,"INVALID"))</x:f>
      </x:c>
      <x:c r="M90" t="str">
        <x:f>IF(E90="","",IFERROR((5-MATCH(E90,LOOKUPS!$D$2:$D$6,0))*25,"INVALID"))</x:f>
      </x:c>
      <x:c r="N90" t="str">
        <x:f>IF(F90="","",IFERROR((5-MATCH(F90,LOOKUPS!$E$2:$E$6,0))*25,"INVALID"))</x:f>
      </x:c>
      <x:c r="O90" t="str">
        <x:f>IF(G90="","",IFERROR((5-MATCH(G90,LOOKUPS!$F$2:$F$6,0))*25,"INVALID"))</x:f>
      </x:c>
      <x:c r="P90" t="str">
        <x:f>IF(H90="","",IFERROR((5-MATCH(H90,LOOKUPS!$G$2:$G$6,0))*25,"INVALID"))</x:f>
      </x:c>
      <x:c r="Q90" t="str">
        <x:f>IF(I90="","",IF(I90="We have a full water system in-house (not dependent on any provider)","N/A",IFERROR((5-MATCH(I90,LOOKUPS!$H$2:$H$7,0))*25,"INVALID")))</x:f>
      </x:c>
      <x:c r="R90" t="str">
        <x:f>IF(COUNTIF(J90:Q90,"INVALID")&gt;0,"",IF(COUNT(J90:Q90)=0,"",ROUND(AVERAGE(J90:Q90),6)))</x:f>
      </x:c>
      <x:c r="S90" t="str">
        <x:f>IF(COUNTIF(J90:Q90,"INVALID")&gt;0,"INVALID",IF(COUNT(J90:Q90)=0,"NOT ENTERED",IF(COUNT(J90:Q90)&lt;7,"LOW COVERAGE","VALID")))</x:f>
        <x:v>NOT ENTERED</x:v>
      </x:c>
    </x:row>
    <x:row r="91">
      <x:c r="J91" t="str">
        <x:f>IF(B91="","",IFERROR((5-MATCH(B91,LOOKUPS!$A$2:$A$6,0))*25,"INVALID"))</x:f>
      </x:c>
      <x:c r="K91" t="str">
        <x:f>IF(C91="","",IFERROR((5-MATCH(C91,LOOKUPS!$B$2:$B$6,0))*25,"INVALID"))</x:f>
      </x:c>
      <x:c r="L91" t="str">
        <x:f>IF(D91="","",IFERROR((5-MATCH(D91,LOOKUPS!$C$2:$C$6,0))*25,"INVALID"))</x:f>
      </x:c>
      <x:c r="M91" t="str">
        <x:f>IF(E91="","",IFERROR((5-MATCH(E91,LOOKUPS!$D$2:$D$6,0))*25,"INVALID"))</x:f>
      </x:c>
      <x:c r="N91" t="str">
        <x:f>IF(F91="","",IFERROR((5-MATCH(F91,LOOKUPS!$E$2:$E$6,0))*25,"INVALID"))</x:f>
      </x:c>
      <x:c r="O91" t="str">
        <x:f>IF(G91="","",IFERROR((5-MATCH(G91,LOOKUPS!$F$2:$F$6,0))*25,"INVALID"))</x:f>
      </x:c>
      <x:c r="P91" t="str">
        <x:f>IF(H91="","",IFERROR((5-MATCH(H91,LOOKUPS!$G$2:$G$6,0))*25,"INVALID"))</x:f>
      </x:c>
      <x:c r="Q91" t="str">
        <x:f>IF(I91="","",IF(I91="We have a full water system in-house (not dependent on any provider)","N/A",IFERROR((5-MATCH(I91,LOOKUPS!$H$2:$H$7,0))*25,"INVALID")))</x:f>
      </x:c>
      <x:c r="R91" t="str">
        <x:f>IF(COUNTIF(J91:Q91,"INVALID")&gt;0,"",IF(COUNT(J91:Q91)=0,"",ROUND(AVERAGE(J91:Q91),6)))</x:f>
      </x:c>
      <x:c r="S91" t="str">
        <x:f>IF(COUNTIF(J91:Q91,"INVALID")&gt;0,"INVALID",IF(COUNT(J91:Q91)=0,"NOT ENTERED",IF(COUNT(J91:Q91)&lt;7,"LOW COVERAGE","VALID")))</x:f>
        <x:v>NOT ENTERED</x:v>
      </x:c>
    </x:row>
    <x:row r="92">
      <x:c r="J92" t="str">
        <x:f>IF(B92="","",IFERROR((5-MATCH(B92,LOOKUPS!$A$2:$A$6,0))*25,"INVALID"))</x:f>
      </x:c>
      <x:c r="K92" t="str">
        <x:f>IF(C92="","",IFERROR((5-MATCH(C92,LOOKUPS!$B$2:$B$6,0))*25,"INVALID"))</x:f>
      </x:c>
      <x:c r="L92" t="str">
        <x:f>IF(D92="","",IFERROR((5-MATCH(D92,LOOKUPS!$C$2:$C$6,0))*25,"INVALID"))</x:f>
      </x:c>
      <x:c r="M92" t="str">
        <x:f>IF(E92="","",IFERROR((5-MATCH(E92,LOOKUPS!$D$2:$D$6,0))*25,"INVALID"))</x:f>
      </x:c>
      <x:c r="N92" t="str">
        <x:f>IF(F92="","",IFERROR((5-MATCH(F92,LOOKUPS!$E$2:$E$6,0))*25,"INVALID"))</x:f>
      </x:c>
      <x:c r="O92" t="str">
        <x:f>IF(G92="","",IFERROR((5-MATCH(G92,LOOKUPS!$F$2:$F$6,0))*25,"INVALID"))</x:f>
      </x:c>
      <x:c r="P92" t="str">
        <x:f>IF(H92="","",IFERROR((5-MATCH(H92,LOOKUPS!$G$2:$G$6,0))*25,"INVALID"))</x:f>
      </x:c>
      <x:c r="Q92" t="str">
        <x:f>IF(I92="","",IF(I92="We have a full water system in-house (not dependent on any provider)","N/A",IFERROR((5-MATCH(I92,LOOKUPS!$H$2:$H$7,0))*25,"INVALID")))</x:f>
      </x:c>
      <x:c r="R92" t="str">
        <x:f>IF(COUNTIF(J92:Q92,"INVALID")&gt;0,"",IF(COUNT(J92:Q92)=0,"",ROUND(AVERAGE(J92:Q92),6)))</x:f>
      </x:c>
      <x:c r="S92" t="str">
        <x:f>IF(COUNTIF(J92:Q92,"INVALID")&gt;0,"INVALID",IF(COUNT(J92:Q92)=0,"NOT ENTERED",IF(COUNT(J92:Q92)&lt;7,"LOW COVERAGE","VALID")))</x:f>
        <x:v>NOT ENTERED</x:v>
      </x:c>
    </x:row>
    <x:row r="93">
      <x:c r="J93" t="str">
        <x:f>IF(B93="","",IFERROR((5-MATCH(B93,LOOKUPS!$A$2:$A$6,0))*25,"INVALID"))</x:f>
      </x:c>
      <x:c r="K93" t="str">
        <x:f>IF(C93="","",IFERROR((5-MATCH(C93,LOOKUPS!$B$2:$B$6,0))*25,"INVALID"))</x:f>
      </x:c>
      <x:c r="L93" t="str">
        <x:f>IF(D93="","",IFERROR((5-MATCH(D93,LOOKUPS!$C$2:$C$6,0))*25,"INVALID"))</x:f>
      </x:c>
      <x:c r="M93" t="str">
        <x:f>IF(E93="","",IFERROR((5-MATCH(E93,LOOKUPS!$D$2:$D$6,0))*25,"INVALID"))</x:f>
      </x:c>
      <x:c r="N93" t="str">
        <x:f>IF(F93="","",IFERROR((5-MATCH(F93,LOOKUPS!$E$2:$E$6,0))*25,"INVALID"))</x:f>
      </x:c>
      <x:c r="O93" t="str">
        <x:f>IF(G93="","",IFERROR((5-MATCH(G93,LOOKUPS!$F$2:$F$6,0))*25,"INVALID"))</x:f>
      </x:c>
      <x:c r="P93" t="str">
        <x:f>IF(H93="","",IFERROR((5-MATCH(H93,LOOKUPS!$G$2:$G$6,0))*25,"INVALID"))</x:f>
      </x:c>
      <x:c r="Q93" t="str">
        <x:f>IF(I93="","",IF(I93="We have a full water system in-house (not dependent on any provider)","N/A",IFERROR((5-MATCH(I93,LOOKUPS!$H$2:$H$7,0))*25,"INVALID")))</x:f>
      </x:c>
      <x:c r="R93" t="str">
        <x:f>IF(COUNTIF(J93:Q93,"INVALID")&gt;0,"",IF(COUNT(J93:Q93)=0,"",ROUND(AVERAGE(J93:Q93),6)))</x:f>
      </x:c>
      <x:c r="S93" t="str">
        <x:f>IF(COUNTIF(J93:Q93,"INVALID")&gt;0,"INVALID",IF(COUNT(J93:Q93)=0,"NOT ENTERED",IF(COUNT(J93:Q93)&lt;7,"LOW COVERAGE","VALID")))</x:f>
        <x:v>NOT ENTERED</x:v>
      </x:c>
    </x:row>
    <x:row r="94">
      <x:c r="J94" t="str">
        <x:f>IF(B94="","",IFERROR((5-MATCH(B94,LOOKUPS!$A$2:$A$6,0))*25,"INVALID"))</x:f>
      </x:c>
      <x:c r="K94" t="str">
        <x:f>IF(C94="","",IFERROR((5-MATCH(C94,LOOKUPS!$B$2:$B$6,0))*25,"INVALID"))</x:f>
      </x:c>
      <x:c r="L94" t="str">
        <x:f>IF(D94="","",IFERROR((5-MATCH(D94,LOOKUPS!$C$2:$C$6,0))*25,"INVALID"))</x:f>
      </x:c>
      <x:c r="M94" t="str">
        <x:f>IF(E94="","",IFERROR((5-MATCH(E94,LOOKUPS!$D$2:$D$6,0))*25,"INVALID"))</x:f>
      </x:c>
      <x:c r="N94" t="str">
        <x:f>IF(F94="","",IFERROR((5-MATCH(F94,LOOKUPS!$E$2:$E$6,0))*25,"INVALID"))</x:f>
      </x:c>
      <x:c r="O94" t="str">
        <x:f>IF(G94="","",IFERROR((5-MATCH(G94,LOOKUPS!$F$2:$F$6,0))*25,"INVALID"))</x:f>
      </x:c>
      <x:c r="P94" t="str">
        <x:f>IF(H94="","",IFERROR((5-MATCH(H94,LOOKUPS!$G$2:$G$6,0))*25,"INVALID"))</x:f>
      </x:c>
      <x:c r="Q94" t="str">
        <x:f>IF(I94="","",IF(I94="We have a full water system in-house (not dependent on any provider)","N/A",IFERROR((5-MATCH(I94,LOOKUPS!$H$2:$H$7,0))*25,"INVALID")))</x:f>
      </x:c>
      <x:c r="R94" t="str">
        <x:f>IF(COUNTIF(J94:Q94,"INVALID")&gt;0,"",IF(COUNT(J94:Q94)=0,"",ROUND(AVERAGE(J94:Q94),6)))</x:f>
      </x:c>
      <x:c r="S94" t="str">
        <x:f>IF(COUNTIF(J94:Q94,"INVALID")&gt;0,"INVALID",IF(COUNT(J94:Q94)=0,"NOT ENTERED",IF(COUNT(J94:Q94)&lt;7,"LOW COVERAGE","VALID")))</x:f>
        <x:v>NOT ENTERED</x:v>
      </x:c>
    </x:row>
    <x:row r="95">
      <x:c r="J95" t="str">
        <x:f>IF(B95="","",IFERROR((5-MATCH(B95,LOOKUPS!$A$2:$A$6,0))*25,"INVALID"))</x:f>
      </x:c>
      <x:c r="K95" t="str">
        <x:f>IF(C95="","",IFERROR((5-MATCH(C95,LOOKUPS!$B$2:$B$6,0))*25,"INVALID"))</x:f>
      </x:c>
      <x:c r="L95" t="str">
        <x:f>IF(D95="","",IFERROR((5-MATCH(D95,LOOKUPS!$C$2:$C$6,0))*25,"INVALID"))</x:f>
      </x:c>
      <x:c r="M95" t="str">
        <x:f>IF(E95="","",IFERROR((5-MATCH(E95,LOOKUPS!$D$2:$D$6,0))*25,"INVALID"))</x:f>
      </x:c>
      <x:c r="N95" t="str">
        <x:f>IF(F95="","",IFERROR((5-MATCH(F95,LOOKUPS!$E$2:$E$6,0))*25,"INVALID"))</x:f>
      </x:c>
      <x:c r="O95" t="str">
        <x:f>IF(G95="","",IFERROR((5-MATCH(G95,LOOKUPS!$F$2:$F$6,0))*25,"INVALID"))</x:f>
      </x:c>
      <x:c r="P95" t="str">
        <x:f>IF(H95="","",IFERROR((5-MATCH(H95,LOOKUPS!$G$2:$G$6,0))*25,"INVALID"))</x:f>
      </x:c>
      <x:c r="Q95" t="str">
        <x:f>IF(I95="","",IF(I95="We have a full water system in-house (not dependent on any provider)","N/A",IFERROR((5-MATCH(I95,LOOKUPS!$H$2:$H$7,0))*25,"INVALID")))</x:f>
      </x:c>
      <x:c r="R95" t="str">
        <x:f>IF(COUNTIF(J95:Q95,"INVALID")&gt;0,"",IF(COUNT(J95:Q95)=0,"",ROUND(AVERAGE(J95:Q95),6)))</x:f>
      </x:c>
      <x:c r="S95" t="str">
        <x:f>IF(COUNTIF(J95:Q95,"INVALID")&gt;0,"INVALID",IF(COUNT(J95:Q95)=0,"NOT ENTERED",IF(COUNT(J95:Q95)&lt;7,"LOW COVERAGE","VALID")))</x:f>
        <x:v>NOT ENTERED</x:v>
      </x:c>
    </x:row>
    <x:row r="96">
      <x:c r="J96" t="str">
        <x:f>IF(B96="","",IFERROR((5-MATCH(B96,LOOKUPS!$A$2:$A$6,0))*25,"INVALID"))</x:f>
      </x:c>
      <x:c r="K96" t="str">
        <x:f>IF(C96="","",IFERROR((5-MATCH(C96,LOOKUPS!$B$2:$B$6,0))*25,"INVALID"))</x:f>
      </x:c>
      <x:c r="L96" t="str">
        <x:f>IF(D96="","",IFERROR((5-MATCH(D96,LOOKUPS!$C$2:$C$6,0))*25,"INVALID"))</x:f>
      </x:c>
      <x:c r="M96" t="str">
        <x:f>IF(E96="","",IFERROR((5-MATCH(E96,LOOKUPS!$D$2:$D$6,0))*25,"INVALID"))</x:f>
      </x:c>
      <x:c r="N96" t="str">
        <x:f>IF(F96="","",IFERROR((5-MATCH(F96,LOOKUPS!$E$2:$E$6,0))*25,"INVALID"))</x:f>
      </x:c>
      <x:c r="O96" t="str">
        <x:f>IF(G96="","",IFERROR((5-MATCH(G96,LOOKUPS!$F$2:$F$6,0))*25,"INVALID"))</x:f>
      </x:c>
      <x:c r="P96" t="str">
        <x:f>IF(H96="","",IFERROR((5-MATCH(H96,LOOKUPS!$G$2:$G$6,0))*25,"INVALID"))</x:f>
      </x:c>
      <x:c r="Q96" t="str">
        <x:f>IF(I96="","",IF(I96="We have a full water system in-house (not dependent on any provider)","N/A",IFERROR((5-MATCH(I96,LOOKUPS!$H$2:$H$7,0))*25,"INVALID")))</x:f>
      </x:c>
      <x:c r="R96" t="str">
        <x:f>IF(COUNTIF(J96:Q96,"INVALID")&gt;0,"",IF(COUNT(J96:Q96)=0,"",ROUND(AVERAGE(J96:Q96),6)))</x:f>
      </x:c>
      <x:c r="S96" t="str">
        <x:f>IF(COUNTIF(J96:Q96,"INVALID")&gt;0,"INVALID",IF(COUNT(J96:Q96)=0,"NOT ENTERED",IF(COUNT(J96:Q96)&lt;7,"LOW COVERAGE","VALID")))</x:f>
        <x:v>NOT ENTERED</x:v>
      </x:c>
    </x:row>
    <x:row r="97">
      <x:c r="J97" t="str">
        <x:f>IF(B97="","",IFERROR((5-MATCH(B97,LOOKUPS!$A$2:$A$6,0))*25,"INVALID"))</x:f>
      </x:c>
      <x:c r="K97" t="str">
        <x:f>IF(C97="","",IFERROR((5-MATCH(C97,LOOKUPS!$B$2:$B$6,0))*25,"INVALID"))</x:f>
      </x:c>
      <x:c r="L97" t="str">
        <x:f>IF(D97="","",IFERROR((5-MATCH(D97,LOOKUPS!$C$2:$C$6,0))*25,"INVALID"))</x:f>
      </x:c>
      <x:c r="M97" t="str">
        <x:f>IF(E97="","",IFERROR((5-MATCH(E97,LOOKUPS!$D$2:$D$6,0))*25,"INVALID"))</x:f>
      </x:c>
      <x:c r="N97" t="str">
        <x:f>IF(F97="","",IFERROR((5-MATCH(F97,LOOKUPS!$E$2:$E$6,0))*25,"INVALID"))</x:f>
      </x:c>
      <x:c r="O97" t="str">
        <x:f>IF(G97="","",IFERROR((5-MATCH(G97,LOOKUPS!$F$2:$F$6,0))*25,"INVALID"))</x:f>
      </x:c>
      <x:c r="P97" t="str">
        <x:f>IF(H97="","",IFERROR((5-MATCH(H97,LOOKUPS!$G$2:$G$6,0))*25,"INVALID"))</x:f>
      </x:c>
      <x:c r="Q97" t="str">
        <x:f>IF(I97="","",IF(I97="We have a full water system in-house (not dependent on any provider)","N/A",IFERROR((5-MATCH(I97,LOOKUPS!$H$2:$H$7,0))*25,"INVALID")))</x:f>
      </x:c>
      <x:c r="R97" t="str">
        <x:f>IF(COUNTIF(J97:Q97,"INVALID")&gt;0,"",IF(COUNT(J97:Q97)=0,"",ROUND(AVERAGE(J97:Q97),6)))</x:f>
      </x:c>
      <x:c r="S97" t="str">
        <x:f>IF(COUNTIF(J97:Q97,"INVALID")&gt;0,"INVALID",IF(COUNT(J97:Q97)=0,"NOT ENTERED",IF(COUNT(J97:Q97)&lt;7,"LOW COVERAGE","VALID")))</x:f>
        <x:v>NOT ENTERED</x:v>
      </x:c>
    </x:row>
    <x:row r="98">
      <x:c r="J98" t="str">
        <x:f>IF(B98="","",IFERROR((5-MATCH(B98,LOOKUPS!$A$2:$A$6,0))*25,"INVALID"))</x:f>
      </x:c>
      <x:c r="K98" t="str">
        <x:f>IF(C98="","",IFERROR((5-MATCH(C98,LOOKUPS!$B$2:$B$6,0))*25,"INVALID"))</x:f>
      </x:c>
      <x:c r="L98" t="str">
        <x:f>IF(D98="","",IFERROR((5-MATCH(D98,LOOKUPS!$C$2:$C$6,0))*25,"INVALID"))</x:f>
      </x:c>
      <x:c r="M98" t="str">
        <x:f>IF(E98="","",IFERROR((5-MATCH(E98,LOOKUPS!$D$2:$D$6,0))*25,"INVALID"))</x:f>
      </x:c>
      <x:c r="N98" t="str">
        <x:f>IF(F98="","",IFERROR((5-MATCH(F98,LOOKUPS!$E$2:$E$6,0))*25,"INVALID"))</x:f>
      </x:c>
      <x:c r="O98" t="str">
        <x:f>IF(G98="","",IFERROR((5-MATCH(G98,LOOKUPS!$F$2:$F$6,0))*25,"INVALID"))</x:f>
      </x:c>
      <x:c r="P98" t="str">
        <x:f>IF(H98="","",IFERROR((5-MATCH(H98,LOOKUPS!$G$2:$G$6,0))*25,"INVALID"))</x:f>
      </x:c>
      <x:c r="Q98" t="str">
        <x:f>IF(I98="","",IF(I98="We have a full water system in-house (not dependent on any provider)","N/A",IFERROR((5-MATCH(I98,LOOKUPS!$H$2:$H$7,0))*25,"INVALID")))</x:f>
      </x:c>
      <x:c r="R98" t="str">
        <x:f>IF(COUNTIF(J98:Q98,"INVALID")&gt;0,"",IF(COUNT(J98:Q98)=0,"",ROUND(AVERAGE(J98:Q98),6)))</x:f>
      </x:c>
      <x:c r="S98" t="str">
        <x:f>IF(COUNTIF(J98:Q98,"INVALID")&gt;0,"INVALID",IF(COUNT(J98:Q98)=0,"NOT ENTERED",IF(COUNT(J98:Q98)&lt;7,"LOW COVERAGE","VALID")))</x:f>
        <x:v>NOT ENTERED</x:v>
      </x:c>
    </x:row>
    <x:row r="99">
      <x:c r="J99" t="str">
        <x:f>IF(B99="","",IFERROR((5-MATCH(B99,LOOKUPS!$A$2:$A$6,0))*25,"INVALID"))</x:f>
      </x:c>
      <x:c r="K99" t="str">
        <x:f>IF(C99="","",IFERROR((5-MATCH(C99,LOOKUPS!$B$2:$B$6,0))*25,"INVALID"))</x:f>
      </x:c>
      <x:c r="L99" t="str">
        <x:f>IF(D99="","",IFERROR((5-MATCH(D99,LOOKUPS!$C$2:$C$6,0))*25,"INVALID"))</x:f>
      </x:c>
      <x:c r="M99" t="str">
        <x:f>IF(E99="","",IFERROR((5-MATCH(E99,LOOKUPS!$D$2:$D$6,0))*25,"INVALID"))</x:f>
      </x:c>
      <x:c r="N99" t="str">
        <x:f>IF(F99="","",IFERROR((5-MATCH(F99,LOOKUPS!$E$2:$E$6,0))*25,"INVALID"))</x:f>
      </x:c>
      <x:c r="O99" t="str">
        <x:f>IF(G99="","",IFERROR((5-MATCH(G99,LOOKUPS!$F$2:$F$6,0))*25,"INVALID"))</x:f>
      </x:c>
      <x:c r="P99" t="str">
        <x:f>IF(H99="","",IFERROR((5-MATCH(H99,LOOKUPS!$G$2:$G$6,0))*25,"INVALID"))</x:f>
      </x:c>
      <x:c r="Q99" t="str">
        <x:f>IF(I99="","",IF(I99="We have a full water system in-house (not dependent on any provider)","N/A",IFERROR((5-MATCH(I99,LOOKUPS!$H$2:$H$7,0))*25,"INVALID")))</x:f>
      </x:c>
      <x:c r="R99" t="str">
        <x:f>IF(COUNTIF(J99:Q99,"INVALID")&gt;0,"",IF(COUNT(J99:Q99)=0,"",ROUND(AVERAGE(J99:Q99),6)))</x:f>
      </x:c>
      <x:c r="S99" t="str">
        <x:f>IF(COUNTIF(J99:Q99,"INVALID")&gt;0,"INVALID",IF(COUNT(J99:Q99)=0,"NOT ENTERED",IF(COUNT(J99:Q99)&lt;7,"LOW COVERAGE","VALID")))</x:f>
        <x:v>NOT ENTERED</x:v>
      </x:c>
    </x:row>
    <x:row r="100">
      <x:c r="J100" t="str">
        <x:f>IF(B100="","",IFERROR((5-MATCH(B100,LOOKUPS!$A$2:$A$6,0))*25,"INVALID"))</x:f>
      </x:c>
      <x:c r="K100" t="str">
        <x:f>IF(C100="","",IFERROR((5-MATCH(C100,LOOKUPS!$B$2:$B$6,0))*25,"INVALID"))</x:f>
      </x:c>
      <x:c r="L100" t="str">
        <x:f>IF(D100="","",IFERROR((5-MATCH(D100,LOOKUPS!$C$2:$C$6,0))*25,"INVALID"))</x:f>
      </x:c>
      <x:c r="M100" t="str">
        <x:f>IF(E100="","",IFERROR((5-MATCH(E100,LOOKUPS!$D$2:$D$6,0))*25,"INVALID"))</x:f>
      </x:c>
      <x:c r="N100" t="str">
        <x:f>IF(F100="","",IFERROR((5-MATCH(F100,LOOKUPS!$E$2:$E$6,0))*25,"INVALID"))</x:f>
      </x:c>
      <x:c r="O100" t="str">
        <x:f>IF(G100="","",IFERROR((5-MATCH(G100,LOOKUPS!$F$2:$F$6,0))*25,"INVALID"))</x:f>
      </x:c>
      <x:c r="P100" t="str">
        <x:f>IF(H100="","",IFERROR((5-MATCH(H100,LOOKUPS!$G$2:$G$6,0))*25,"INVALID"))</x:f>
      </x:c>
      <x:c r="Q100" t="str">
        <x:f>IF(I100="","",IF(I100="We have a full water system in-house (not dependent on any provider)","N/A",IFERROR((5-MATCH(I100,LOOKUPS!$H$2:$H$7,0))*25,"INVALID")))</x:f>
      </x:c>
      <x:c r="R100" t="str">
        <x:f>IF(COUNTIF(J100:Q100,"INVALID")&gt;0,"",IF(COUNT(J100:Q100)=0,"",ROUND(AVERAGE(J100:Q100),6)))</x:f>
      </x:c>
      <x:c r="S100" t="str">
        <x:f>IF(COUNTIF(J100:Q100,"INVALID")&gt;0,"INVALID",IF(COUNT(J100:Q100)=0,"NOT ENTERED",IF(COUNT(J100:Q100)&lt;7,"LOW COVERAGE","VALID")))</x:f>
        <x:v>NOT ENTERED</x:v>
      </x:c>
    </x:row>
    <x:row r="101">
      <x:c r="J101" t="str">
        <x:f>IF(B101="","",IFERROR((5-MATCH(B101,LOOKUPS!$A$2:$A$6,0))*25,"INVALID"))</x:f>
      </x:c>
      <x:c r="K101" t="str">
        <x:f>IF(C101="","",IFERROR((5-MATCH(C101,LOOKUPS!$B$2:$B$6,0))*25,"INVALID"))</x:f>
      </x:c>
      <x:c r="L101" t="str">
        <x:f>IF(D101="","",IFERROR((5-MATCH(D101,LOOKUPS!$C$2:$C$6,0))*25,"INVALID"))</x:f>
      </x:c>
      <x:c r="M101" t="str">
        <x:f>IF(E101="","",IFERROR((5-MATCH(E101,LOOKUPS!$D$2:$D$6,0))*25,"INVALID"))</x:f>
      </x:c>
      <x:c r="N101" t="str">
        <x:f>IF(F101="","",IFERROR((5-MATCH(F101,LOOKUPS!$E$2:$E$6,0))*25,"INVALID"))</x:f>
      </x:c>
      <x:c r="O101" t="str">
        <x:f>IF(G101="","",IFERROR((5-MATCH(G101,LOOKUPS!$F$2:$F$6,0))*25,"INVALID"))</x:f>
      </x:c>
      <x:c r="P101" t="str">
        <x:f>IF(H101="","",IFERROR((5-MATCH(H101,LOOKUPS!$G$2:$G$6,0))*25,"INVALID"))</x:f>
      </x:c>
      <x:c r="Q101" t="str">
        <x:f>IF(I101="","",IF(I101="We have a full water system in-house (not dependent on any provider)","N/A",IFERROR((5-MATCH(I101,LOOKUPS!$H$2:$H$7,0))*25,"INVALID")))</x:f>
      </x:c>
      <x:c r="R101" t="str">
        <x:f>IF(COUNTIF(J101:Q101,"INVALID")&gt;0,"",IF(COUNT(J101:Q101)=0,"",ROUND(AVERAGE(J101:Q101),6)))</x:f>
      </x:c>
      <x:c r="S101" t="str">
        <x:f>IF(COUNTIF(J101:Q101,"INVALID")&gt;0,"INVALID",IF(COUNT(J101:Q101)=0,"NOT ENTERED",IF(COUNT(J101:Q101)&lt;7,"LOW COVERAGE","VALID")))</x:f>
        <x:v>NOT ENTERED</x:v>
      </x:c>
    </x:row>
    <x:row r="102">
      <x:c r="J102" t="str">
        <x:f>IF(B102="","",IFERROR((5-MATCH(B102,LOOKUPS!$A$2:$A$6,0))*25,"INVALID"))</x:f>
      </x:c>
      <x:c r="K102" t="str">
        <x:f>IF(C102="","",IFERROR((5-MATCH(C102,LOOKUPS!$B$2:$B$6,0))*25,"INVALID"))</x:f>
      </x:c>
      <x:c r="L102" t="str">
        <x:f>IF(D102="","",IFERROR((5-MATCH(D102,LOOKUPS!$C$2:$C$6,0))*25,"INVALID"))</x:f>
      </x:c>
      <x:c r="M102" t="str">
        <x:f>IF(E102="","",IFERROR((5-MATCH(E102,LOOKUPS!$D$2:$D$6,0))*25,"INVALID"))</x:f>
      </x:c>
      <x:c r="N102" t="str">
        <x:f>IF(F102="","",IFERROR((5-MATCH(F102,LOOKUPS!$E$2:$E$6,0))*25,"INVALID"))</x:f>
      </x:c>
      <x:c r="O102" t="str">
        <x:f>IF(G102="","",IFERROR((5-MATCH(G102,LOOKUPS!$F$2:$F$6,0))*25,"INVALID"))</x:f>
      </x:c>
      <x:c r="P102" t="str">
        <x:f>IF(H102="","",IFERROR((5-MATCH(H102,LOOKUPS!$G$2:$G$6,0))*25,"INVALID"))</x:f>
      </x:c>
      <x:c r="Q102" t="str">
        <x:f>IF(I102="","",IF(I102="We have a full water system in-house (not dependent on any provider)","N/A",IFERROR((5-MATCH(I102,LOOKUPS!$H$2:$H$7,0))*25,"INVALID")))</x:f>
      </x:c>
      <x:c r="R102" t="str">
        <x:f>IF(COUNTIF(J102:Q102,"INVALID")&gt;0,"",IF(COUNT(J102:Q102)=0,"",ROUND(AVERAGE(J102:Q102),6)))</x:f>
      </x:c>
      <x:c r="S102" t="str">
        <x:f>IF(COUNTIF(J102:Q102,"INVALID")&gt;0,"INVALID",IF(COUNT(J102:Q102)=0,"NOT ENTERED",IF(COUNT(J102:Q102)&lt;7,"LOW COVERAGE","VALID")))</x:f>
        <x:v>NOT ENTERED</x:v>
      </x:c>
    </x:row>
    <x:row r="103">
      <x:c r="J103" t="str">
        <x:f>IF(B103="","",IFERROR((5-MATCH(B103,LOOKUPS!$A$2:$A$6,0))*25,"INVALID"))</x:f>
      </x:c>
      <x:c r="K103" t="str">
        <x:f>IF(C103="","",IFERROR((5-MATCH(C103,LOOKUPS!$B$2:$B$6,0))*25,"INVALID"))</x:f>
      </x:c>
      <x:c r="L103" t="str">
        <x:f>IF(D103="","",IFERROR((5-MATCH(D103,LOOKUPS!$C$2:$C$6,0))*25,"INVALID"))</x:f>
      </x:c>
      <x:c r="M103" t="str">
        <x:f>IF(E103="","",IFERROR((5-MATCH(E103,LOOKUPS!$D$2:$D$6,0))*25,"INVALID"))</x:f>
      </x:c>
      <x:c r="N103" t="str">
        <x:f>IF(F103="","",IFERROR((5-MATCH(F103,LOOKUPS!$E$2:$E$6,0))*25,"INVALID"))</x:f>
      </x:c>
      <x:c r="O103" t="str">
        <x:f>IF(G103="","",IFERROR((5-MATCH(G103,LOOKUPS!$F$2:$F$6,0))*25,"INVALID"))</x:f>
      </x:c>
      <x:c r="P103" t="str">
        <x:f>IF(H103="","",IFERROR((5-MATCH(H103,LOOKUPS!$G$2:$G$6,0))*25,"INVALID"))</x:f>
      </x:c>
      <x:c r="Q103" t="str">
        <x:f>IF(I103="","",IF(I103="We have a full water system in-house (not dependent on any provider)","N/A",IFERROR((5-MATCH(I103,LOOKUPS!$H$2:$H$7,0))*25,"INVALID")))</x:f>
      </x:c>
      <x:c r="R103" t="str">
        <x:f>IF(COUNTIF(J103:Q103,"INVALID")&gt;0,"",IF(COUNT(J103:Q103)=0,"",ROUND(AVERAGE(J103:Q103),6)))</x:f>
      </x:c>
      <x:c r="S103" t="str">
        <x:f>IF(COUNTIF(J103:Q103,"INVALID")&gt;0,"INVALID",IF(COUNT(J103:Q103)=0,"NOT ENTERED",IF(COUNT(J103:Q103)&lt;7,"LOW COVERAGE","VALID")))</x:f>
        <x:v>NOT ENTERED</x:v>
      </x:c>
    </x:row>
    <x:row r="104">
      <x:c r="J104" t="str">
        <x:f>IF(B104="","",IFERROR((5-MATCH(B104,LOOKUPS!$A$2:$A$6,0))*25,"INVALID"))</x:f>
      </x:c>
      <x:c r="K104" t="str">
        <x:f>IF(C104="","",IFERROR((5-MATCH(C104,LOOKUPS!$B$2:$B$6,0))*25,"INVALID"))</x:f>
      </x:c>
      <x:c r="L104" t="str">
        <x:f>IF(D104="","",IFERROR((5-MATCH(D104,LOOKUPS!$C$2:$C$6,0))*25,"INVALID"))</x:f>
      </x:c>
      <x:c r="M104" t="str">
        <x:f>IF(E104="","",IFERROR((5-MATCH(E104,LOOKUPS!$D$2:$D$6,0))*25,"INVALID"))</x:f>
      </x:c>
      <x:c r="N104" t="str">
        <x:f>IF(F104="","",IFERROR((5-MATCH(F104,LOOKUPS!$E$2:$E$6,0))*25,"INVALID"))</x:f>
      </x:c>
      <x:c r="O104" t="str">
        <x:f>IF(G104="","",IFERROR((5-MATCH(G104,LOOKUPS!$F$2:$F$6,0))*25,"INVALID"))</x:f>
      </x:c>
      <x:c r="P104" t="str">
        <x:f>IF(H104="","",IFERROR((5-MATCH(H104,LOOKUPS!$G$2:$G$6,0))*25,"INVALID"))</x:f>
      </x:c>
      <x:c r="Q104" t="str">
        <x:f>IF(I104="","",IF(I104="We have a full water system in-house (not dependent on any provider)","N/A",IFERROR((5-MATCH(I104,LOOKUPS!$H$2:$H$7,0))*25,"INVALID")))</x:f>
      </x:c>
      <x:c r="R104" t="str">
        <x:f>IF(COUNTIF(J104:Q104,"INVALID")&gt;0,"",IF(COUNT(J104:Q104)=0,"",ROUND(AVERAGE(J104:Q104),6)))</x:f>
      </x:c>
      <x:c r="S104" t="str">
        <x:f>IF(COUNTIF(J104:Q104,"INVALID")&gt;0,"INVALID",IF(COUNT(J104:Q104)=0,"NOT ENTERED",IF(COUNT(J104:Q104)&lt;7,"LOW COVERAGE","VALID")))</x:f>
        <x:v>NOT ENTERED</x:v>
      </x:c>
    </x:row>
  </x:sheetData>
  <x:dataValidations count="8">
    <x:dataValidation type="list" allowBlank="1" showErrorMessage="1" errorTitle="Invalid response" error="Enter a permitted response." sqref="B5:B104">
      <x:formula1>CHOICE_Q2_2</x:formula1>
    </x:dataValidation>
    <x:dataValidation type="list" allowBlank="1" showErrorMessage="1" errorTitle="Invalid response" error="Enter a permitted response." sqref="C5:C104">
      <x:formula1>CHOICE_Q3_1</x:formula1>
    </x:dataValidation>
    <x:dataValidation type="list" allowBlank="1" showErrorMessage="1" errorTitle="Invalid response" error="Enter a permitted response." sqref="D5:D104">
      <x:formula1>CHOICE_Q4_1</x:formula1>
    </x:dataValidation>
    <x:dataValidation type="list" allowBlank="1" showErrorMessage="1" errorTitle="Invalid response" error="Enter a permitted response." sqref="E5:E104">
      <x:formula1>CHOICE_Q5_1</x:formula1>
    </x:dataValidation>
    <x:dataValidation type="list" allowBlank="1" showErrorMessage="1" errorTitle="Invalid response" error="Enter a permitted response." sqref="F5:F104">
      <x:formula1>CHOICE_Q6_1</x:formula1>
    </x:dataValidation>
    <x:dataValidation type="list" allowBlank="1" showErrorMessage="1" errorTitle="Invalid response" error="Enter a permitted response." sqref="G5:G104">
      <x:formula1>CHOICE_Q7_1</x:formula1>
    </x:dataValidation>
    <x:dataValidation type="list" allowBlank="1" showErrorMessage="1" errorTitle="Invalid response" error="Enter a permitted response." sqref="H5:H104">
      <x:formula1>CHOICE_Q8_1</x:formula1>
    </x:dataValidation>
    <x:dataValidation type="list" allowBlank="1" showErrorMessage="1" errorTitle="Invalid response" error="Enter a permitted response." sqref="I5:I104">
      <x:formula1>CHOICE_Q9_1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20"/>
  <x:cols>
    <x:col min="1" max="1" width="27" customWidth="1"/>
    <x:col min="2" max="2" width="27" customWidth="1"/>
    <x:col min="3" max="3" width="27" customWidth="1"/>
    <x:col min="4" max="4" width="27" customWidth="1"/>
    <x:col min="5" max="5" width="27" customWidth="1"/>
    <x:col min="6" max="6" width="27" customWidth="1"/>
    <x:col min="7" max="7" width="27" customWidth="1"/>
    <x:col min="8" max="8" width="27" customWidth="1"/>
    <x:col min="9" max="9" width="27" customWidth="1"/>
    <x:col min="10" max="10" width="27" customWidth="1"/>
    <x:col min="11" max="11" width="27" customWidth="1"/>
    <x:col min="12" max="12" width="27" customWidth="1"/>
    <x:col min="13" max="13" width="27" customWidth="1"/>
    <x:col min="14" max="14" width="27" customWidth="1"/>
    <x:col min="15" max="15" width="27" customWidth="1"/>
    <x:col min="16" max="16" width="27" customWidth="1"/>
    <x:col min="17" max="17" width="27" customWidth="1"/>
    <x:col min="18" max="18" width="27" customWidth="1"/>
    <x:col min="19" max="19" width="27" customWidth="1"/>
    <x:col min="20" max="20" width="27" customWidth="1"/>
    <x:col min="21" max="21" width="27" customWidth="1"/>
    <x:col min="22" max="22" width="27" customWidth="1"/>
    <x:col min="23" max="23" width="27" customWidth="1"/>
    <x:col min="24" max="24" width="27" customWidth="1"/>
    <x:col min="25" max="25" width="27" customWidth="1"/>
    <x:col min="26" max="26" width="27" customWidth="1"/>
    <x:col min="27" max="27" width="27" customWidth="1"/>
    <x:col min="28" max="28" width="27" customWidth="1"/>
    <x:col min="29" max="29" width="27" customWidth="1"/>
    <x:col min="30" max="30" width="27" customWidth="1"/>
    <x:col min="31" max="31" width="27" customWidth="1"/>
    <x:col min="32" max="32" width="27" customWidth="1"/>
    <x:col min="33" max="33" width="27" customWidth="1"/>
    <x:col min="34" max="34" width="27" customWidth="1"/>
    <x:col min="35" max="35" width="27" customWidth="1"/>
    <x:col min="36" max="36" width="27" customWidth="1"/>
    <x:col min="37" max="37" width="27" customWidth="1"/>
    <x:col min="38" max="38" width="27" customWidth="1"/>
    <x:col min="39" max="39" width="27" customWidth="1"/>
    <x:col min="40" max="40" width="27" customWidth="1"/>
    <x:col min="41" max="41" width="27" customWidth="1"/>
    <x:col min="42" max="42" width="27" customWidth="1"/>
    <x:col min="43" max="43" width="27" customWidth="1"/>
    <x:col min="44" max="44" width="27" customWidth="1"/>
    <x:col min="45" max="45" width="27" customWidth="1"/>
    <x:col min="46" max="46" width="27" customWidth="1"/>
    <x:col min="47" max="47" width="27" customWidth="1"/>
    <x:col min="48" max="48" width="27" customWidth="1"/>
    <x:col min="49" max="49" width="27" customWidth="1"/>
    <x:col min="50" max="50" width="27" customWidth="1"/>
    <x:col min="51" max="51" width="27" customWidth="1"/>
    <x:col min="52" max="52" width="27" customWidth="1"/>
    <x:col min="53" max="53" width="27" customWidth="1"/>
    <x:col min="54" max="54" width="27" customWidth="1"/>
    <x:col min="55" max="55" width="27" customWidth="1"/>
    <x:col min="56" max="56" width="27" customWidth="1"/>
    <x:col min="57" max="57" width="27" customWidth="1"/>
    <x:col min="58" max="58" width="27" customWidth="1"/>
    <x:col min="59" max="59" width="27" customWidth="1"/>
    <x:col min="60" max="60" width="27" customWidth="1"/>
    <x:col min="61" max="61" width="27" customWidth="1"/>
    <x:col min="62" max="62" width="27" customWidth="1"/>
    <x:col min="63" max="63" width="27" customWidth="1"/>
    <x:col min="64" max="64" width="27" customWidth="1"/>
    <x:col min="65" max="65" width="27" customWidth="1"/>
    <x:col min="66" max="66" width="27" customWidth="1"/>
    <x:col min="67" max="67" width="27" customWidth="1"/>
    <x:col min="68" max="68" width="27" customWidth="1"/>
    <x:col min="69" max="69" width="27" customWidth="1"/>
  </x:cols>
  <x:sheetData>
    <x:row r="1">
      <x:c r="A1" s="1" t="inlineStr">
        <x:is>
          <x:t xml:space="preserve">WSQS | INTERNATIONAL RESEARCH DATA ENTRY</x:t>
        </x:is>
      </x:c>
    </x:row>
    <x:row r="2">
      <x:c r="A2" t="inlineStr">
        <x:is>
          <x:t xml:space="preserve">43 core questions, three optional sensitivities and any approved extensions.</x:t>
        </x:is>
      </x:c>
    </x:row>
    <x:row r="4">
      <x:c r="A4" s="3" t="inlineStr">
        <x:is>
          <x:t xml:space="preserve">Record ID</x:t>
        </x:is>
      </x:c>
      <x:c r="B4" s="3" t="inlineStr">
        <x:is>
          <x:t xml:space="preserve">Q1.1</x:t>
        </x:is>
      </x:c>
      <x:c r="C4" s="3" t="inlineStr">
        <x:is>
          <x:t xml:space="preserve">Q1.2_public_pct</x:t>
        </x:is>
      </x:c>
      <x:c r="D4" s="3" t="inlineStr">
        <x:is>
          <x:t xml:space="preserve">Q1.2_groundwater_pct</x:t>
        </x:is>
      </x:c>
      <x:c r="E4" s="3" t="inlineStr">
        <x:is>
          <x:t xml:space="preserve">Q1.2_surface_pct</x:t>
        </x:is>
      </x:c>
      <x:c r="F4" s="3" t="inlineStr">
        <x:is>
          <x:t xml:space="preserve">Q1.2_tanker_pct</x:t>
        </x:is>
      </x:c>
      <x:c r="G4" s="3" t="inlineStr">
        <x:is>
          <x:t xml:space="preserve">Q1.2_packaged_pct</x:t>
        </x:is>
      </x:c>
      <x:c r="H4" s="3" t="inlineStr">
        <x:is>
          <x:t xml:space="preserve">Q1.2_other_pct</x:t>
        </x:is>
      </x:c>
      <x:c r="I4" s="3" t="inlineStr">
        <x:is>
          <x:t xml:space="preserve">Q1.3</x:t>
        </x:is>
      </x:c>
      <x:c r="J4" s="3" t="inlineStr">
        <x:is>
          <x:t xml:space="preserve">Q2.2</x:t>
        </x:is>
      </x:c>
      <x:c r="K4" s="3" t="inlineStr">
        <x:is>
          <x:t xml:space="preserve">Q2.3_amount</x:t>
        </x:is>
      </x:c>
      <x:c r="L4" s="3" t="inlineStr">
        <x:is>
          <x:t xml:space="preserve">Q2.3_currency</x:t>
        </x:is>
      </x:c>
      <x:c r="M4" s="3" t="inlineStr">
        <x:is>
          <x:t xml:space="preserve">Q2.3_status</x:t>
        </x:is>
      </x:c>
      <x:c r="N4" s="3" t="inlineStr">
        <x:is>
          <x:t xml:space="preserve">Q2.5</x:t>
        </x:is>
      </x:c>
      <x:c r="O4" s="3" t="inlineStr">
        <x:is>
          <x:t xml:space="preserve">Q2.8</x:t>
        </x:is>
      </x:c>
      <x:c r="P4" s="3" t="inlineStr">
        <x:is>
          <x:t xml:space="preserve">Q2.9</x:t>
        </x:is>
      </x:c>
      <x:c r="Q4" s="3" t="inlineStr">
        <x:is>
          <x:t xml:space="preserve">Q3.1</x:t>
        </x:is>
      </x:c>
      <x:c r="R4" s="3" t="inlineStr">
        <x:is>
          <x:t xml:space="preserve">Q3.2</x:t>
        </x:is>
      </x:c>
      <x:c r="S4" s="3" t="inlineStr">
        <x:is>
          <x:t xml:space="preserve">Q3.3</x:t>
        </x:is>
      </x:c>
      <x:c r="T4" s="3" t="inlineStr">
        <x:is>
          <x:t xml:space="preserve">Q3.5</x:t>
        </x:is>
      </x:c>
      <x:c r="U4" s="3" t="inlineStr">
        <x:is>
          <x:t xml:space="preserve">Q3.6</x:t>
        </x:is>
      </x:c>
      <x:c r="V4" s="3" t="inlineStr">
        <x:is>
          <x:t xml:space="preserve">Q3.9</x:t>
        </x:is>
      </x:c>
      <x:c r="W4" s="3" t="inlineStr">
        <x:is>
          <x:t xml:space="preserve">Q4.1</x:t>
        </x:is>
      </x:c>
      <x:c r="X4" s="3" t="inlineStr">
        <x:is>
          <x:t xml:space="preserve">Q4.2</x:t>
        </x:is>
      </x:c>
      <x:c r="Y4" s="3" t="inlineStr">
        <x:is>
          <x:t xml:space="preserve">Q4.3</x:t>
        </x:is>
      </x:c>
      <x:c r="Z4" s="3" t="inlineStr">
        <x:is>
          <x:t xml:space="preserve">Q4.4</x:t>
        </x:is>
      </x:c>
      <x:c r="AA4" s="3" t="inlineStr">
        <x:is>
          <x:t xml:space="preserve">Q4.5</x:t>
        </x:is>
      </x:c>
      <x:c r="AB4" s="3" t="inlineStr">
        <x:is>
          <x:t xml:space="preserve">Q5.1</x:t>
        </x:is>
      </x:c>
      <x:c r="AC4" s="3" t="inlineStr">
        <x:is>
          <x:t xml:space="preserve">Q5.2</x:t>
        </x:is>
      </x:c>
      <x:c r="AD4" s="3" t="inlineStr">
        <x:is>
          <x:t xml:space="preserve">Q5.3</x:t>
        </x:is>
      </x:c>
      <x:c r="AE4" s="3" t="inlineStr">
        <x:is>
          <x:t xml:space="preserve">Q5.4</x:t>
        </x:is>
      </x:c>
      <x:c r="AF4" s="3" t="inlineStr">
        <x:is>
          <x:t xml:space="preserve">Q6.1</x:t>
        </x:is>
      </x:c>
      <x:c r="AG4" s="3" t="inlineStr">
        <x:is>
          <x:t xml:space="preserve">Q6.2</x:t>
        </x:is>
      </x:c>
      <x:c r="AH4" s="3" t="inlineStr">
        <x:is>
          <x:t xml:space="preserve">Q6.3</x:t>
        </x:is>
      </x:c>
      <x:c r="AI4" s="3" t="inlineStr">
        <x:is>
          <x:t xml:space="preserve">Q6.4</x:t>
        </x:is>
      </x:c>
      <x:c r="AJ4" s="3" t="inlineStr">
        <x:is>
          <x:t xml:space="preserve">Q6.6</x:t>
        </x:is>
      </x:c>
      <x:c r="AK4" s="3" t="inlineStr">
        <x:is>
          <x:t xml:space="preserve">Q7.1</x:t>
        </x:is>
      </x:c>
      <x:c r="AL4" s="3" t="inlineStr">
        <x:is>
          <x:t xml:space="preserve">Q7.3</x:t>
        </x:is>
      </x:c>
      <x:c r="AM4" s="3" t="inlineStr">
        <x:is>
          <x:t xml:space="preserve">Q7.4</x:t>
        </x:is>
      </x:c>
      <x:c r="AN4" s="3" t="inlineStr">
        <x:is>
          <x:t xml:space="preserve">Q7.5</x:t>
        </x:is>
      </x:c>
      <x:c r="AO4" s="3" t="inlineStr">
        <x:is>
          <x:t xml:space="preserve">Q8.1</x:t>
        </x:is>
      </x:c>
      <x:c r="AP4" s="3" t="inlineStr">
        <x:is>
          <x:t xml:space="preserve">Q8.2_volume</x:t>
        </x:is>
      </x:c>
      <x:c r="AQ4" s="3" t="inlineStr">
        <x:is>
          <x:t xml:space="preserve">Q8.2_unit</x:t>
        </x:is>
      </x:c>
      <x:c r="AR4" s="3" t="inlineStr">
        <x:is>
          <x:t xml:space="preserve">Q8.2_status</x:t>
        </x:is>
      </x:c>
      <x:c r="AS4" s="3" t="inlineStr">
        <x:is>
          <x:t xml:space="preserve">Q8.3</x:t>
        </x:is>
      </x:c>
      <x:c r="AT4" s="3" t="inlineStr">
        <x:is>
          <x:t xml:space="preserve">Q8.4</x:t>
        </x:is>
      </x:c>
      <x:c r="AU4" s="3" t="inlineStr">
        <x:is>
          <x:t xml:space="preserve">Q8.6</x:t>
        </x:is>
      </x:c>
      <x:c r="AV4" s="3" t="inlineStr">
        <x:is>
          <x:t xml:space="preserve">Q9.1</x:t>
        </x:is>
      </x:c>
      <x:c r="AW4" s="3" t="inlineStr">
        <x:is>
          <x:t xml:space="preserve">Q9.2</x:t>
        </x:is>
      </x:c>
      <x:c r="AX4" s="3" t="inlineStr">
        <x:is>
          <x:t xml:space="preserve">Q9.4</x:t>
        </x:is>
      </x:c>
      <x:c r="AY4" s="3" t="inlineStr">
        <x:is>
          <x:t xml:space="preserve">Q9.5</x:t>
        </x:is>
      </x:c>
      <x:c r="AZ4" s="3" t="inlineStr">
        <x:is>
          <x:t xml:space="preserve">Q15.10</x:t>
        </x:is>
      </x:c>
      <x:c r="BA4" s="3" t="inlineStr">
        <x:is>
          <x:t xml:space="preserve">Q15.14</x:t>
        </x:is>
      </x:c>
      <x:c r="BB4" s="3" t="inlineStr">
        <x:is>
          <x:t xml:space="preserve">Q15.2</x:t>
        </x:is>
      </x:c>
      <x:c r="BC4" s="3" t="inlineStr">
        <x:is>
          <x:t xml:space="preserve">Q15.3</x:t>
        </x:is>
      </x:c>
      <x:c r="BD4" s="3" t="inlineStr">
        <x:is>
          <x:t xml:space="preserve">Q15.17_amount</x:t>
        </x:is>
      </x:c>
      <x:c r="BE4" s="3" t="inlineStr">
        <x:is>
          <x:t xml:space="preserve">Q15.17_currency</x:t>
        </x:is>
      </x:c>
      <x:c r="BF4" s="3" t="inlineStr">
        <x:is>
          <x:t xml:space="preserve">Q15.17_status</x:t>
        </x:is>
      </x:c>
      <x:c r="BG4" s="3" t="inlineStr">
        <x:is>
          <x:t xml:space="preserve">SCORE_Q2.2</x:t>
        </x:is>
      </x:c>
      <x:c r="BH4" s="3" t="inlineStr">
        <x:is>
          <x:t xml:space="preserve">SCORE_Q3.1</x:t>
        </x:is>
      </x:c>
      <x:c r="BI4" s="3" t="inlineStr">
        <x:is>
          <x:t xml:space="preserve">SCORE_Q4.1</x:t>
        </x:is>
      </x:c>
      <x:c r="BJ4" s="3" t="inlineStr">
        <x:is>
          <x:t xml:space="preserve">SCORE_Q5.1</x:t>
        </x:is>
      </x:c>
      <x:c r="BK4" s="3" t="inlineStr">
        <x:is>
          <x:t xml:space="preserve">SCORE_Q6.1</x:t>
        </x:is>
      </x:c>
      <x:c r="BL4" s="3" t="inlineStr">
        <x:is>
          <x:t xml:space="preserve">SCORE_Q7.1</x:t>
        </x:is>
      </x:c>
      <x:c r="BM4" s="3" t="inlineStr">
        <x:is>
          <x:t xml:space="preserve">SCORE_Q8.1</x:t>
        </x:is>
      </x:c>
      <x:c r="BN4" s="3" t="inlineStr">
        <x:is>
          <x:t xml:space="preserve">SCORE_Q9.1</x:t>
        </x:is>
      </x:c>
      <x:c r="BO4" s="3" t="inlineStr">
        <x:is>
          <x:t xml:space="preserve">WSQS (0–100)</x:t>
        </x:is>
      </x:c>
      <x:c r="BP4" s="3" t="inlineStr">
        <x:is>
          <x:t xml:space="preserve">CORE8_STATUS</x:t>
        </x:is>
      </x:c>
      <x:c r="BQ4" s="3" t="inlineStr">
        <x:is>
          <x:t xml:space="preserve">Q1.2_SHARES_STATUS</x:t>
        </x:is>
      </x:c>
    </x:row>
    <x:row r="5">
      <x:c r="BG5" t="str">
        <x:f>IF(J5="","",IFERROR((5-MATCH(J5,LOOKUPS!$A$2:$A$6,0))*25,"INVALID"))</x:f>
      </x:c>
      <x:c r="BH5" t="str">
        <x:f>IF(Q5="","",IFERROR((5-MATCH(Q5,LOOKUPS!$B$2:$B$6,0))*25,"INVALID"))</x:f>
      </x:c>
      <x:c r="BI5" t="str">
        <x:f>IF(W5="","",IFERROR((5-MATCH(W5,LOOKUPS!$C$2:$C$6,0))*25,"INVALID"))</x:f>
      </x:c>
      <x:c r="BJ5" t="str">
        <x:f>IF(AB5="","",IFERROR((5-MATCH(AB5,LOOKUPS!$D$2:$D$6,0))*25,"INVALID"))</x:f>
      </x:c>
      <x:c r="BK5" t="str">
        <x:f>IF(AF5="","",IFERROR((5-MATCH(AF5,LOOKUPS!$E$2:$E$6,0))*25,"INVALID"))</x:f>
      </x:c>
      <x:c r="BL5" t="str">
        <x:f>IF(AK5="","",IFERROR((5-MATCH(AK5,LOOKUPS!$F$2:$F$6,0))*25,"INVALID"))</x:f>
      </x:c>
      <x:c r="BM5" t="str">
        <x:f>IF(AO5="","",IFERROR((5-MATCH(AO5,LOOKUPS!$G$2:$G$6,0))*25,"INVALID"))</x:f>
      </x:c>
      <x:c r="BN5" t="str">
        <x:f>IF(AV5="","",IF(AV5="We have a full water system in-house (not dependent on any provider)","N/A",IFERROR((5-MATCH(AV5,LOOKUPS!$H$2:$H$7,0))*25,"INVALID")))</x:f>
      </x:c>
      <x:c r="BO5" t="str">
        <x:f>IF(COUNTIF(BG5:BN5,"INVALID")&gt;0,"",IF(COUNT(BG5:BN5)=0,"",ROUND(AVERAGE(BG5:BN5),6)))</x:f>
      </x:c>
      <x:c r="BP5" t="str">
        <x:f>IF(COUNTIF(BG5:BN5,"INVALID")&gt;0,"INVALID",IF(COUNT(BG5:BN5)=0,"NOT ENTERED",IF(COUNT(BG5:BN5)&lt;7,"LOW COVERAGE","VALID")))</x:f>
        <x:v>NOT ENTERED</x:v>
      </x:c>
      <x:c r="BQ5" t="str">
        <x:f>IF(COUNTA(C5:H5)=0,"NOT ENTERED",IF(OR(COUNT(C5:H5)&lt;&gt;6,MIN(C5:H5)&lt;0,MAX(C5:H5)&gt;100),"INVALID",IF(ABS(SUM(C5:H5)-100)&lt;0.000001,"VALID","CHECK SHARES")))</x:f>
        <x:v>NOT ENTERED</x:v>
      </x:c>
    </x:row>
    <x:row r="6">
      <x:c r="BG6" t="str">
        <x:f>IF(J6="","",IFERROR((5-MATCH(J6,LOOKUPS!$A$2:$A$6,0))*25,"INVALID"))</x:f>
      </x:c>
      <x:c r="BH6" t="str">
        <x:f>IF(Q6="","",IFERROR((5-MATCH(Q6,LOOKUPS!$B$2:$B$6,0))*25,"INVALID"))</x:f>
      </x:c>
      <x:c r="BI6" t="str">
        <x:f>IF(W6="","",IFERROR((5-MATCH(W6,LOOKUPS!$C$2:$C$6,0))*25,"INVALID"))</x:f>
      </x:c>
      <x:c r="BJ6" t="str">
        <x:f>IF(AB6="","",IFERROR((5-MATCH(AB6,LOOKUPS!$D$2:$D$6,0))*25,"INVALID"))</x:f>
      </x:c>
      <x:c r="BK6" t="str">
        <x:f>IF(AF6="","",IFERROR((5-MATCH(AF6,LOOKUPS!$E$2:$E$6,0))*25,"INVALID"))</x:f>
      </x:c>
      <x:c r="BL6" t="str">
        <x:f>IF(AK6="","",IFERROR((5-MATCH(AK6,LOOKUPS!$F$2:$F$6,0))*25,"INVALID"))</x:f>
      </x:c>
      <x:c r="BM6" t="str">
        <x:f>IF(AO6="","",IFERROR((5-MATCH(AO6,LOOKUPS!$G$2:$G$6,0))*25,"INVALID"))</x:f>
      </x:c>
      <x:c r="BN6" t="str">
        <x:f>IF(AV6="","",IF(AV6="We have a full water system in-house (not dependent on any provider)","N/A",IFERROR((5-MATCH(AV6,LOOKUPS!$H$2:$H$7,0))*25,"INVALID")))</x:f>
      </x:c>
      <x:c r="BO6" t="str">
        <x:f>IF(COUNTIF(BG6:BN6,"INVALID")&gt;0,"",IF(COUNT(BG6:BN6)=0,"",ROUND(AVERAGE(BG6:BN6),6)))</x:f>
      </x:c>
      <x:c r="BP6" t="str">
        <x:f>IF(COUNTIF(BG6:BN6,"INVALID")&gt;0,"INVALID",IF(COUNT(BG6:BN6)=0,"NOT ENTERED",IF(COUNT(BG6:BN6)&lt;7,"LOW COVERAGE","VALID")))</x:f>
        <x:v>NOT ENTERED</x:v>
      </x:c>
      <x:c r="BQ6" t="str">
        <x:f>IF(COUNTA(C6:H6)=0,"NOT ENTERED",IF(OR(COUNT(C6:H6)&lt;&gt;6,MIN(C6:H6)&lt;0,MAX(C6:H6)&gt;100),"INVALID",IF(ABS(SUM(C6:H6)-100)&lt;0.000001,"VALID","CHECK SHARES")))</x:f>
        <x:v>NOT ENTERED</x:v>
      </x:c>
    </x:row>
    <x:row r="7">
      <x:c r="BG7" t="str">
        <x:f>IF(J7="","",IFERROR((5-MATCH(J7,LOOKUPS!$A$2:$A$6,0))*25,"INVALID"))</x:f>
      </x:c>
      <x:c r="BH7" t="str">
        <x:f>IF(Q7="","",IFERROR((5-MATCH(Q7,LOOKUPS!$B$2:$B$6,0))*25,"INVALID"))</x:f>
      </x:c>
      <x:c r="BI7" t="str">
        <x:f>IF(W7="","",IFERROR((5-MATCH(W7,LOOKUPS!$C$2:$C$6,0))*25,"INVALID"))</x:f>
      </x:c>
      <x:c r="BJ7" t="str">
        <x:f>IF(AB7="","",IFERROR((5-MATCH(AB7,LOOKUPS!$D$2:$D$6,0))*25,"INVALID"))</x:f>
      </x:c>
      <x:c r="BK7" t="str">
        <x:f>IF(AF7="","",IFERROR((5-MATCH(AF7,LOOKUPS!$E$2:$E$6,0))*25,"INVALID"))</x:f>
      </x:c>
      <x:c r="BL7" t="str">
        <x:f>IF(AK7="","",IFERROR((5-MATCH(AK7,LOOKUPS!$F$2:$F$6,0))*25,"INVALID"))</x:f>
      </x:c>
      <x:c r="BM7" t="str">
        <x:f>IF(AO7="","",IFERROR((5-MATCH(AO7,LOOKUPS!$G$2:$G$6,0))*25,"INVALID"))</x:f>
      </x:c>
      <x:c r="BN7" t="str">
        <x:f>IF(AV7="","",IF(AV7="We have a full water system in-house (not dependent on any provider)","N/A",IFERROR((5-MATCH(AV7,LOOKUPS!$H$2:$H$7,0))*25,"INVALID")))</x:f>
      </x:c>
      <x:c r="BO7" t="str">
        <x:f>IF(COUNTIF(BG7:BN7,"INVALID")&gt;0,"",IF(COUNT(BG7:BN7)=0,"",ROUND(AVERAGE(BG7:BN7),6)))</x:f>
      </x:c>
      <x:c r="BP7" t="str">
        <x:f>IF(COUNTIF(BG7:BN7,"INVALID")&gt;0,"INVALID",IF(COUNT(BG7:BN7)=0,"NOT ENTERED",IF(COUNT(BG7:BN7)&lt;7,"LOW COVERAGE","VALID")))</x:f>
        <x:v>NOT ENTERED</x:v>
      </x:c>
      <x:c r="BQ7" t="str">
        <x:f>IF(COUNTA(C7:H7)=0,"NOT ENTERED",IF(OR(COUNT(C7:H7)&lt;&gt;6,MIN(C7:H7)&lt;0,MAX(C7:H7)&gt;100),"INVALID",IF(ABS(SUM(C7:H7)-100)&lt;0.000001,"VALID","CHECK SHARES")))</x:f>
        <x:v>NOT ENTERED</x:v>
      </x:c>
    </x:row>
    <x:row r="8">
      <x:c r="BG8" t="str">
        <x:f>IF(J8="","",IFERROR((5-MATCH(J8,LOOKUPS!$A$2:$A$6,0))*25,"INVALID"))</x:f>
      </x:c>
      <x:c r="BH8" t="str">
        <x:f>IF(Q8="","",IFERROR((5-MATCH(Q8,LOOKUPS!$B$2:$B$6,0))*25,"INVALID"))</x:f>
      </x:c>
      <x:c r="BI8" t="str">
        <x:f>IF(W8="","",IFERROR((5-MATCH(W8,LOOKUPS!$C$2:$C$6,0))*25,"INVALID"))</x:f>
      </x:c>
      <x:c r="BJ8" t="str">
        <x:f>IF(AB8="","",IFERROR((5-MATCH(AB8,LOOKUPS!$D$2:$D$6,0))*25,"INVALID"))</x:f>
      </x:c>
      <x:c r="BK8" t="str">
        <x:f>IF(AF8="","",IFERROR((5-MATCH(AF8,LOOKUPS!$E$2:$E$6,0))*25,"INVALID"))</x:f>
      </x:c>
      <x:c r="BL8" t="str">
        <x:f>IF(AK8="","",IFERROR((5-MATCH(AK8,LOOKUPS!$F$2:$F$6,0))*25,"INVALID"))</x:f>
      </x:c>
      <x:c r="BM8" t="str">
        <x:f>IF(AO8="","",IFERROR((5-MATCH(AO8,LOOKUPS!$G$2:$G$6,0))*25,"INVALID"))</x:f>
      </x:c>
      <x:c r="BN8" t="str">
        <x:f>IF(AV8="","",IF(AV8="We have a full water system in-house (not dependent on any provider)","N/A",IFERROR((5-MATCH(AV8,LOOKUPS!$H$2:$H$7,0))*25,"INVALID")))</x:f>
      </x:c>
      <x:c r="BO8" t="str">
        <x:f>IF(COUNTIF(BG8:BN8,"INVALID")&gt;0,"",IF(COUNT(BG8:BN8)=0,"",ROUND(AVERAGE(BG8:BN8),6)))</x:f>
      </x:c>
      <x:c r="BP8" t="str">
        <x:f>IF(COUNTIF(BG8:BN8,"INVALID")&gt;0,"INVALID",IF(COUNT(BG8:BN8)=0,"NOT ENTERED",IF(COUNT(BG8:BN8)&lt;7,"LOW COVERAGE","VALID")))</x:f>
        <x:v>NOT ENTERED</x:v>
      </x:c>
      <x:c r="BQ8" t="str">
        <x:f>IF(COUNTA(C8:H8)=0,"NOT ENTERED",IF(OR(COUNT(C8:H8)&lt;&gt;6,MIN(C8:H8)&lt;0,MAX(C8:H8)&gt;100),"INVALID",IF(ABS(SUM(C8:H8)-100)&lt;0.000001,"VALID","CHECK SHARES")))</x:f>
        <x:v>NOT ENTERED</x:v>
      </x:c>
    </x:row>
    <x:row r="9">
      <x:c r="BG9" t="str">
        <x:f>IF(J9="","",IFERROR((5-MATCH(J9,LOOKUPS!$A$2:$A$6,0))*25,"INVALID"))</x:f>
      </x:c>
      <x:c r="BH9" t="str">
        <x:f>IF(Q9="","",IFERROR((5-MATCH(Q9,LOOKUPS!$B$2:$B$6,0))*25,"INVALID"))</x:f>
      </x:c>
      <x:c r="BI9" t="str">
        <x:f>IF(W9="","",IFERROR((5-MATCH(W9,LOOKUPS!$C$2:$C$6,0))*25,"INVALID"))</x:f>
      </x:c>
      <x:c r="BJ9" t="str">
        <x:f>IF(AB9="","",IFERROR((5-MATCH(AB9,LOOKUPS!$D$2:$D$6,0))*25,"INVALID"))</x:f>
      </x:c>
      <x:c r="BK9" t="str">
        <x:f>IF(AF9="","",IFERROR((5-MATCH(AF9,LOOKUPS!$E$2:$E$6,0))*25,"INVALID"))</x:f>
      </x:c>
      <x:c r="BL9" t="str">
        <x:f>IF(AK9="","",IFERROR((5-MATCH(AK9,LOOKUPS!$F$2:$F$6,0))*25,"INVALID"))</x:f>
      </x:c>
      <x:c r="BM9" t="str">
        <x:f>IF(AO9="","",IFERROR((5-MATCH(AO9,LOOKUPS!$G$2:$G$6,0))*25,"INVALID"))</x:f>
      </x:c>
      <x:c r="BN9" t="str">
        <x:f>IF(AV9="","",IF(AV9="We have a full water system in-house (not dependent on any provider)","N/A",IFERROR((5-MATCH(AV9,LOOKUPS!$H$2:$H$7,0))*25,"INVALID")))</x:f>
      </x:c>
      <x:c r="BO9" t="str">
        <x:f>IF(COUNTIF(BG9:BN9,"INVALID")&gt;0,"",IF(COUNT(BG9:BN9)=0,"",ROUND(AVERAGE(BG9:BN9),6)))</x:f>
      </x:c>
      <x:c r="BP9" t="str">
        <x:f>IF(COUNTIF(BG9:BN9,"INVALID")&gt;0,"INVALID",IF(COUNT(BG9:BN9)=0,"NOT ENTERED",IF(COUNT(BG9:BN9)&lt;7,"LOW COVERAGE","VALID")))</x:f>
        <x:v>NOT ENTERED</x:v>
      </x:c>
      <x:c r="BQ9" t="str">
        <x:f>IF(COUNTA(C9:H9)=0,"NOT ENTERED",IF(OR(COUNT(C9:H9)&lt;&gt;6,MIN(C9:H9)&lt;0,MAX(C9:H9)&gt;100),"INVALID",IF(ABS(SUM(C9:H9)-100)&lt;0.000001,"VALID","CHECK SHARES")))</x:f>
        <x:v>NOT ENTERED</x:v>
      </x:c>
    </x:row>
    <x:row r="10">
      <x:c r="BG10" t="str">
        <x:f>IF(J10="","",IFERROR((5-MATCH(J10,LOOKUPS!$A$2:$A$6,0))*25,"INVALID"))</x:f>
      </x:c>
      <x:c r="BH10" t="str">
        <x:f>IF(Q10="","",IFERROR((5-MATCH(Q10,LOOKUPS!$B$2:$B$6,0))*25,"INVALID"))</x:f>
      </x:c>
      <x:c r="BI10" t="str">
        <x:f>IF(W10="","",IFERROR((5-MATCH(W10,LOOKUPS!$C$2:$C$6,0))*25,"INVALID"))</x:f>
      </x:c>
      <x:c r="BJ10" t="str">
        <x:f>IF(AB10="","",IFERROR((5-MATCH(AB10,LOOKUPS!$D$2:$D$6,0))*25,"INVALID"))</x:f>
      </x:c>
      <x:c r="BK10" t="str">
        <x:f>IF(AF10="","",IFERROR((5-MATCH(AF10,LOOKUPS!$E$2:$E$6,0))*25,"INVALID"))</x:f>
      </x:c>
      <x:c r="BL10" t="str">
        <x:f>IF(AK10="","",IFERROR((5-MATCH(AK10,LOOKUPS!$F$2:$F$6,0))*25,"INVALID"))</x:f>
      </x:c>
      <x:c r="BM10" t="str">
        <x:f>IF(AO10="","",IFERROR((5-MATCH(AO10,LOOKUPS!$G$2:$G$6,0))*25,"INVALID"))</x:f>
      </x:c>
      <x:c r="BN10" t="str">
        <x:f>IF(AV10="","",IF(AV10="We have a full water system in-house (not dependent on any provider)","N/A",IFERROR((5-MATCH(AV10,LOOKUPS!$H$2:$H$7,0))*25,"INVALID")))</x:f>
      </x:c>
      <x:c r="BO10" t="str">
        <x:f>IF(COUNTIF(BG10:BN10,"INVALID")&gt;0,"",IF(COUNT(BG10:BN10)=0,"",ROUND(AVERAGE(BG10:BN10),6)))</x:f>
      </x:c>
      <x:c r="BP10" t="str">
        <x:f>IF(COUNTIF(BG10:BN10,"INVALID")&gt;0,"INVALID",IF(COUNT(BG10:BN10)=0,"NOT ENTERED",IF(COUNT(BG10:BN10)&lt;7,"LOW COVERAGE","VALID")))</x:f>
        <x:v>NOT ENTERED</x:v>
      </x:c>
      <x:c r="BQ10" t="str">
        <x:f>IF(COUNTA(C10:H10)=0,"NOT ENTERED",IF(OR(COUNT(C10:H10)&lt;&gt;6,MIN(C10:H10)&lt;0,MAX(C10:H10)&gt;100),"INVALID",IF(ABS(SUM(C10:H10)-100)&lt;0.000001,"VALID","CHECK SHARES")))</x:f>
        <x:v>NOT ENTERED</x:v>
      </x:c>
    </x:row>
    <x:row r="11">
      <x:c r="BG11" t="str">
        <x:f>IF(J11="","",IFERROR((5-MATCH(J11,LOOKUPS!$A$2:$A$6,0))*25,"INVALID"))</x:f>
      </x:c>
      <x:c r="BH11" t="str">
        <x:f>IF(Q11="","",IFERROR((5-MATCH(Q11,LOOKUPS!$B$2:$B$6,0))*25,"INVALID"))</x:f>
      </x:c>
      <x:c r="BI11" t="str">
        <x:f>IF(W11="","",IFERROR((5-MATCH(W11,LOOKUPS!$C$2:$C$6,0))*25,"INVALID"))</x:f>
      </x:c>
      <x:c r="BJ11" t="str">
        <x:f>IF(AB11="","",IFERROR((5-MATCH(AB11,LOOKUPS!$D$2:$D$6,0))*25,"INVALID"))</x:f>
      </x:c>
      <x:c r="BK11" t="str">
        <x:f>IF(AF11="","",IFERROR((5-MATCH(AF11,LOOKUPS!$E$2:$E$6,0))*25,"INVALID"))</x:f>
      </x:c>
      <x:c r="BL11" t="str">
        <x:f>IF(AK11="","",IFERROR((5-MATCH(AK11,LOOKUPS!$F$2:$F$6,0))*25,"INVALID"))</x:f>
      </x:c>
      <x:c r="BM11" t="str">
        <x:f>IF(AO11="","",IFERROR((5-MATCH(AO11,LOOKUPS!$G$2:$G$6,0))*25,"INVALID"))</x:f>
      </x:c>
      <x:c r="BN11" t="str">
        <x:f>IF(AV11="","",IF(AV11="We have a full water system in-house (not dependent on any provider)","N/A",IFERROR((5-MATCH(AV11,LOOKUPS!$H$2:$H$7,0))*25,"INVALID")))</x:f>
      </x:c>
      <x:c r="BO11" t="str">
        <x:f>IF(COUNTIF(BG11:BN11,"INVALID")&gt;0,"",IF(COUNT(BG11:BN11)=0,"",ROUND(AVERAGE(BG11:BN11),6)))</x:f>
      </x:c>
      <x:c r="BP11" t="str">
        <x:f>IF(COUNTIF(BG11:BN11,"INVALID")&gt;0,"INVALID",IF(COUNT(BG11:BN11)=0,"NOT ENTERED",IF(COUNT(BG11:BN11)&lt;7,"LOW COVERAGE","VALID")))</x:f>
        <x:v>NOT ENTERED</x:v>
      </x:c>
      <x:c r="BQ11" t="str">
        <x:f>IF(COUNTA(C11:H11)=0,"NOT ENTERED",IF(OR(COUNT(C11:H11)&lt;&gt;6,MIN(C11:H11)&lt;0,MAX(C11:H11)&gt;100),"INVALID",IF(ABS(SUM(C11:H11)-100)&lt;0.000001,"VALID","CHECK SHARES")))</x:f>
        <x:v>NOT ENTERED</x:v>
      </x:c>
    </x:row>
    <x:row r="12">
      <x:c r="BG12" t="str">
        <x:f>IF(J12="","",IFERROR((5-MATCH(J12,LOOKUPS!$A$2:$A$6,0))*25,"INVALID"))</x:f>
      </x:c>
      <x:c r="BH12" t="str">
        <x:f>IF(Q12="","",IFERROR((5-MATCH(Q12,LOOKUPS!$B$2:$B$6,0))*25,"INVALID"))</x:f>
      </x:c>
      <x:c r="BI12" t="str">
        <x:f>IF(W12="","",IFERROR((5-MATCH(W12,LOOKUPS!$C$2:$C$6,0))*25,"INVALID"))</x:f>
      </x:c>
      <x:c r="BJ12" t="str">
        <x:f>IF(AB12="","",IFERROR((5-MATCH(AB12,LOOKUPS!$D$2:$D$6,0))*25,"INVALID"))</x:f>
      </x:c>
      <x:c r="BK12" t="str">
        <x:f>IF(AF12="","",IFERROR((5-MATCH(AF12,LOOKUPS!$E$2:$E$6,0))*25,"INVALID"))</x:f>
      </x:c>
      <x:c r="BL12" t="str">
        <x:f>IF(AK12="","",IFERROR((5-MATCH(AK12,LOOKUPS!$F$2:$F$6,0))*25,"INVALID"))</x:f>
      </x:c>
      <x:c r="BM12" t="str">
        <x:f>IF(AO12="","",IFERROR((5-MATCH(AO12,LOOKUPS!$G$2:$G$6,0))*25,"INVALID"))</x:f>
      </x:c>
      <x:c r="BN12" t="str">
        <x:f>IF(AV12="","",IF(AV12="We have a full water system in-house (not dependent on any provider)","N/A",IFERROR((5-MATCH(AV12,LOOKUPS!$H$2:$H$7,0))*25,"INVALID")))</x:f>
      </x:c>
      <x:c r="BO12" t="str">
        <x:f>IF(COUNTIF(BG12:BN12,"INVALID")&gt;0,"",IF(COUNT(BG12:BN12)=0,"",ROUND(AVERAGE(BG12:BN12),6)))</x:f>
      </x:c>
      <x:c r="BP12" t="str">
        <x:f>IF(COUNTIF(BG12:BN12,"INVALID")&gt;0,"INVALID",IF(COUNT(BG12:BN12)=0,"NOT ENTERED",IF(COUNT(BG12:BN12)&lt;7,"LOW COVERAGE","VALID")))</x:f>
        <x:v>NOT ENTERED</x:v>
      </x:c>
      <x:c r="BQ12" t="str">
        <x:f>IF(COUNTA(C12:H12)=0,"NOT ENTERED",IF(OR(COUNT(C12:H12)&lt;&gt;6,MIN(C12:H12)&lt;0,MAX(C12:H12)&gt;100),"INVALID",IF(ABS(SUM(C12:H12)-100)&lt;0.000001,"VALID","CHECK SHARES")))</x:f>
        <x:v>NOT ENTERED</x:v>
      </x:c>
    </x:row>
    <x:row r="13">
      <x:c r="BG13" t="str">
        <x:f>IF(J13="","",IFERROR((5-MATCH(J13,LOOKUPS!$A$2:$A$6,0))*25,"INVALID"))</x:f>
      </x:c>
      <x:c r="BH13" t="str">
        <x:f>IF(Q13="","",IFERROR((5-MATCH(Q13,LOOKUPS!$B$2:$B$6,0))*25,"INVALID"))</x:f>
      </x:c>
      <x:c r="BI13" t="str">
        <x:f>IF(W13="","",IFERROR((5-MATCH(W13,LOOKUPS!$C$2:$C$6,0))*25,"INVALID"))</x:f>
      </x:c>
      <x:c r="BJ13" t="str">
        <x:f>IF(AB13="","",IFERROR((5-MATCH(AB13,LOOKUPS!$D$2:$D$6,0))*25,"INVALID"))</x:f>
      </x:c>
      <x:c r="BK13" t="str">
        <x:f>IF(AF13="","",IFERROR((5-MATCH(AF13,LOOKUPS!$E$2:$E$6,0))*25,"INVALID"))</x:f>
      </x:c>
      <x:c r="BL13" t="str">
        <x:f>IF(AK13="","",IFERROR((5-MATCH(AK13,LOOKUPS!$F$2:$F$6,0))*25,"INVALID"))</x:f>
      </x:c>
      <x:c r="BM13" t="str">
        <x:f>IF(AO13="","",IFERROR((5-MATCH(AO13,LOOKUPS!$G$2:$G$6,0))*25,"INVALID"))</x:f>
      </x:c>
      <x:c r="BN13" t="str">
        <x:f>IF(AV13="","",IF(AV13="We have a full water system in-house (not dependent on any provider)","N/A",IFERROR((5-MATCH(AV13,LOOKUPS!$H$2:$H$7,0))*25,"INVALID")))</x:f>
      </x:c>
      <x:c r="BO13" t="str">
        <x:f>IF(COUNTIF(BG13:BN13,"INVALID")&gt;0,"",IF(COUNT(BG13:BN13)=0,"",ROUND(AVERAGE(BG13:BN13),6)))</x:f>
      </x:c>
      <x:c r="BP13" t="str">
        <x:f>IF(COUNTIF(BG13:BN13,"INVALID")&gt;0,"INVALID",IF(COUNT(BG13:BN13)=0,"NOT ENTERED",IF(COUNT(BG13:BN13)&lt;7,"LOW COVERAGE","VALID")))</x:f>
        <x:v>NOT ENTERED</x:v>
      </x:c>
      <x:c r="BQ13" t="str">
        <x:f>IF(COUNTA(C13:H13)=0,"NOT ENTERED",IF(OR(COUNT(C13:H13)&lt;&gt;6,MIN(C13:H13)&lt;0,MAX(C13:H13)&gt;100),"INVALID",IF(ABS(SUM(C13:H13)-100)&lt;0.000001,"VALID","CHECK SHARES")))</x:f>
        <x:v>NOT ENTERED</x:v>
      </x:c>
    </x:row>
    <x:row r="14">
      <x:c r="BG14" t="str">
        <x:f>IF(J14="","",IFERROR((5-MATCH(J14,LOOKUPS!$A$2:$A$6,0))*25,"INVALID"))</x:f>
      </x:c>
      <x:c r="BH14" t="str">
        <x:f>IF(Q14="","",IFERROR((5-MATCH(Q14,LOOKUPS!$B$2:$B$6,0))*25,"INVALID"))</x:f>
      </x:c>
      <x:c r="BI14" t="str">
        <x:f>IF(W14="","",IFERROR((5-MATCH(W14,LOOKUPS!$C$2:$C$6,0))*25,"INVALID"))</x:f>
      </x:c>
      <x:c r="BJ14" t="str">
        <x:f>IF(AB14="","",IFERROR((5-MATCH(AB14,LOOKUPS!$D$2:$D$6,0))*25,"INVALID"))</x:f>
      </x:c>
      <x:c r="BK14" t="str">
        <x:f>IF(AF14="","",IFERROR((5-MATCH(AF14,LOOKUPS!$E$2:$E$6,0))*25,"INVALID"))</x:f>
      </x:c>
      <x:c r="BL14" t="str">
        <x:f>IF(AK14="","",IFERROR((5-MATCH(AK14,LOOKUPS!$F$2:$F$6,0))*25,"INVALID"))</x:f>
      </x:c>
      <x:c r="BM14" t="str">
        <x:f>IF(AO14="","",IFERROR((5-MATCH(AO14,LOOKUPS!$G$2:$G$6,0))*25,"INVALID"))</x:f>
      </x:c>
      <x:c r="BN14" t="str">
        <x:f>IF(AV14="","",IF(AV14="We have a full water system in-house (not dependent on any provider)","N/A",IFERROR((5-MATCH(AV14,LOOKUPS!$H$2:$H$7,0))*25,"INVALID")))</x:f>
      </x:c>
      <x:c r="BO14" t="str">
        <x:f>IF(COUNTIF(BG14:BN14,"INVALID")&gt;0,"",IF(COUNT(BG14:BN14)=0,"",ROUND(AVERAGE(BG14:BN14),6)))</x:f>
      </x:c>
      <x:c r="BP14" t="str">
        <x:f>IF(COUNTIF(BG14:BN14,"INVALID")&gt;0,"INVALID",IF(COUNT(BG14:BN14)=0,"NOT ENTERED",IF(COUNT(BG14:BN14)&lt;7,"LOW COVERAGE","VALID")))</x:f>
        <x:v>NOT ENTERED</x:v>
      </x:c>
      <x:c r="BQ14" t="str">
        <x:f>IF(COUNTA(C14:H14)=0,"NOT ENTERED",IF(OR(COUNT(C14:H14)&lt;&gt;6,MIN(C14:H14)&lt;0,MAX(C14:H14)&gt;100),"INVALID",IF(ABS(SUM(C14:H14)-100)&lt;0.000001,"VALID","CHECK SHARES")))</x:f>
        <x:v>NOT ENTERED</x:v>
      </x:c>
    </x:row>
    <x:row r="15">
      <x:c r="BG15" t="str">
        <x:f>IF(J15="","",IFERROR((5-MATCH(J15,LOOKUPS!$A$2:$A$6,0))*25,"INVALID"))</x:f>
      </x:c>
      <x:c r="BH15" t="str">
        <x:f>IF(Q15="","",IFERROR((5-MATCH(Q15,LOOKUPS!$B$2:$B$6,0))*25,"INVALID"))</x:f>
      </x:c>
      <x:c r="BI15" t="str">
        <x:f>IF(W15="","",IFERROR((5-MATCH(W15,LOOKUPS!$C$2:$C$6,0))*25,"INVALID"))</x:f>
      </x:c>
      <x:c r="BJ15" t="str">
        <x:f>IF(AB15="","",IFERROR((5-MATCH(AB15,LOOKUPS!$D$2:$D$6,0))*25,"INVALID"))</x:f>
      </x:c>
      <x:c r="BK15" t="str">
        <x:f>IF(AF15="","",IFERROR((5-MATCH(AF15,LOOKUPS!$E$2:$E$6,0))*25,"INVALID"))</x:f>
      </x:c>
      <x:c r="BL15" t="str">
        <x:f>IF(AK15="","",IFERROR((5-MATCH(AK15,LOOKUPS!$F$2:$F$6,0))*25,"INVALID"))</x:f>
      </x:c>
      <x:c r="BM15" t="str">
        <x:f>IF(AO15="","",IFERROR((5-MATCH(AO15,LOOKUPS!$G$2:$G$6,0))*25,"INVALID"))</x:f>
      </x:c>
      <x:c r="BN15" t="str">
        <x:f>IF(AV15="","",IF(AV15="We have a full water system in-house (not dependent on any provider)","N/A",IFERROR((5-MATCH(AV15,LOOKUPS!$H$2:$H$7,0))*25,"INVALID")))</x:f>
      </x:c>
      <x:c r="BO15" t="str">
        <x:f>IF(COUNTIF(BG15:BN15,"INVALID")&gt;0,"",IF(COUNT(BG15:BN15)=0,"",ROUND(AVERAGE(BG15:BN15),6)))</x:f>
      </x:c>
      <x:c r="BP15" t="str">
        <x:f>IF(COUNTIF(BG15:BN15,"INVALID")&gt;0,"INVALID",IF(COUNT(BG15:BN15)=0,"NOT ENTERED",IF(COUNT(BG15:BN15)&lt;7,"LOW COVERAGE","VALID")))</x:f>
        <x:v>NOT ENTERED</x:v>
      </x:c>
      <x:c r="BQ15" t="str">
        <x:f>IF(COUNTA(C15:H15)=0,"NOT ENTERED",IF(OR(COUNT(C15:H15)&lt;&gt;6,MIN(C15:H15)&lt;0,MAX(C15:H15)&gt;100),"INVALID",IF(ABS(SUM(C15:H15)-100)&lt;0.000001,"VALID","CHECK SHARES")))</x:f>
        <x:v>NOT ENTERED</x:v>
      </x:c>
    </x:row>
    <x:row r="16">
      <x:c r="BG16" t="str">
        <x:f>IF(J16="","",IFERROR((5-MATCH(J16,LOOKUPS!$A$2:$A$6,0))*25,"INVALID"))</x:f>
      </x:c>
      <x:c r="BH16" t="str">
        <x:f>IF(Q16="","",IFERROR((5-MATCH(Q16,LOOKUPS!$B$2:$B$6,0))*25,"INVALID"))</x:f>
      </x:c>
      <x:c r="BI16" t="str">
        <x:f>IF(W16="","",IFERROR((5-MATCH(W16,LOOKUPS!$C$2:$C$6,0))*25,"INVALID"))</x:f>
      </x:c>
      <x:c r="BJ16" t="str">
        <x:f>IF(AB16="","",IFERROR((5-MATCH(AB16,LOOKUPS!$D$2:$D$6,0))*25,"INVALID"))</x:f>
      </x:c>
      <x:c r="BK16" t="str">
        <x:f>IF(AF16="","",IFERROR((5-MATCH(AF16,LOOKUPS!$E$2:$E$6,0))*25,"INVALID"))</x:f>
      </x:c>
      <x:c r="BL16" t="str">
        <x:f>IF(AK16="","",IFERROR((5-MATCH(AK16,LOOKUPS!$F$2:$F$6,0))*25,"INVALID"))</x:f>
      </x:c>
      <x:c r="BM16" t="str">
        <x:f>IF(AO16="","",IFERROR((5-MATCH(AO16,LOOKUPS!$G$2:$G$6,0))*25,"INVALID"))</x:f>
      </x:c>
      <x:c r="BN16" t="str">
        <x:f>IF(AV16="","",IF(AV16="We have a full water system in-house (not dependent on any provider)","N/A",IFERROR((5-MATCH(AV16,LOOKUPS!$H$2:$H$7,0))*25,"INVALID")))</x:f>
      </x:c>
      <x:c r="BO16" t="str">
        <x:f>IF(COUNTIF(BG16:BN16,"INVALID")&gt;0,"",IF(COUNT(BG16:BN16)=0,"",ROUND(AVERAGE(BG16:BN16),6)))</x:f>
      </x:c>
      <x:c r="BP16" t="str">
        <x:f>IF(COUNTIF(BG16:BN16,"INVALID")&gt;0,"INVALID",IF(COUNT(BG16:BN16)=0,"NOT ENTERED",IF(COUNT(BG16:BN16)&lt;7,"LOW COVERAGE","VALID")))</x:f>
        <x:v>NOT ENTERED</x:v>
      </x:c>
      <x:c r="BQ16" t="str">
        <x:f>IF(COUNTA(C16:H16)=0,"NOT ENTERED",IF(OR(COUNT(C16:H16)&lt;&gt;6,MIN(C16:H16)&lt;0,MAX(C16:H16)&gt;100),"INVALID",IF(ABS(SUM(C16:H16)-100)&lt;0.000001,"VALID","CHECK SHARES")))</x:f>
        <x:v>NOT ENTERED</x:v>
      </x:c>
    </x:row>
    <x:row r="17">
      <x:c r="BG17" t="str">
        <x:f>IF(J17="","",IFERROR((5-MATCH(J17,LOOKUPS!$A$2:$A$6,0))*25,"INVALID"))</x:f>
      </x:c>
      <x:c r="BH17" t="str">
        <x:f>IF(Q17="","",IFERROR((5-MATCH(Q17,LOOKUPS!$B$2:$B$6,0))*25,"INVALID"))</x:f>
      </x:c>
      <x:c r="BI17" t="str">
        <x:f>IF(W17="","",IFERROR((5-MATCH(W17,LOOKUPS!$C$2:$C$6,0))*25,"INVALID"))</x:f>
      </x:c>
      <x:c r="BJ17" t="str">
        <x:f>IF(AB17="","",IFERROR((5-MATCH(AB17,LOOKUPS!$D$2:$D$6,0))*25,"INVALID"))</x:f>
      </x:c>
      <x:c r="BK17" t="str">
        <x:f>IF(AF17="","",IFERROR((5-MATCH(AF17,LOOKUPS!$E$2:$E$6,0))*25,"INVALID"))</x:f>
      </x:c>
      <x:c r="BL17" t="str">
        <x:f>IF(AK17="","",IFERROR((5-MATCH(AK17,LOOKUPS!$F$2:$F$6,0))*25,"INVALID"))</x:f>
      </x:c>
      <x:c r="BM17" t="str">
        <x:f>IF(AO17="","",IFERROR((5-MATCH(AO17,LOOKUPS!$G$2:$G$6,0))*25,"INVALID"))</x:f>
      </x:c>
      <x:c r="BN17" t="str">
        <x:f>IF(AV17="","",IF(AV17="We have a full water system in-house (not dependent on any provider)","N/A",IFERROR((5-MATCH(AV17,LOOKUPS!$H$2:$H$7,0))*25,"INVALID")))</x:f>
      </x:c>
      <x:c r="BO17" t="str">
        <x:f>IF(COUNTIF(BG17:BN17,"INVALID")&gt;0,"",IF(COUNT(BG17:BN17)=0,"",ROUND(AVERAGE(BG17:BN17),6)))</x:f>
      </x:c>
      <x:c r="BP17" t="str">
        <x:f>IF(COUNTIF(BG17:BN17,"INVALID")&gt;0,"INVALID",IF(COUNT(BG17:BN17)=0,"NOT ENTERED",IF(COUNT(BG17:BN17)&lt;7,"LOW COVERAGE","VALID")))</x:f>
        <x:v>NOT ENTERED</x:v>
      </x:c>
      <x:c r="BQ17" t="str">
        <x:f>IF(COUNTA(C17:H17)=0,"NOT ENTERED",IF(OR(COUNT(C17:H17)&lt;&gt;6,MIN(C17:H17)&lt;0,MAX(C17:H17)&gt;100),"INVALID",IF(ABS(SUM(C17:H17)-100)&lt;0.000001,"VALID","CHECK SHARES")))</x:f>
        <x:v>NOT ENTERED</x:v>
      </x:c>
    </x:row>
    <x:row r="18">
      <x:c r="BG18" t="str">
        <x:f>IF(J18="","",IFERROR((5-MATCH(J18,LOOKUPS!$A$2:$A$6,0))*25,"INVALID"))</x:f>
      </x:c>
      <x:c r="BH18" t="str">
        <x:f>IF(Q18="","",IFERROR((5-MATCH(Q18,LOOKUPS!$B$2:$B$6,0))*25,"INVALID"))</x:f>
      </x:c>
      <x:c r="BI18" t="str">
        <x:f>IF(W18="","",IFERROR((5-MATCH(W18,LOOKUPS!$C$2:$C$6,0))*25,"INVALID"))</x:f>
      </x:c>
      <x:c r="BJ18" t="str">
        <x:f>IF(AB18="","",IFERROR((5-MATCH(AB18,LOOKUPS!$D$2:$D$6,0))*25,"INVALID"))</x:f>
      </x:c>
      <x:c r="BK18" t="str">
        <x:f>IF(AF18="","",IFERROR((5-MATCH(AF18,LOOKUPS!$E$2:$E$6,0))*25,"INVALID"))</x:f>
      </x:c>
      <x:c r="BL18" t="str">
        <x:f>IF(AK18="","",IFERROR((5-MATCH(AK18,LOOKUPS!$F$2:$F$6,0))*25,"INVALID"))</x:f>
      </x:c>
      <x:c r="BM18" t="str">
        <x:f>IF(AO18="","",IFERROR((5-MATCH(AO18,LOOKUPS!$G$2:$G$6,0))*25,"INVALID"))</x:f>
      </x:c>
      <x:c r="BN18" t="str">
        <x:f>IF(AV18="","",IF(AV18="We have a full water system in-house (not dependent on any provider)","N/A",IFERROR((5-MATCH(AV18,LOOKUPS!$H$2:$H$7,0))*25,"INVALID")))</x:f>
      </x:c>
      <x:c r="BO18" t="str">
        <x:f>IF(COUNTIF(BG18:BN18,"INVALID")&gt;0,"",IF(COUNT(BG18:BN18)=0,"",ROUND(AVERAGE(BG18:BN18),6)))</x:f>
      </x:c>
      <x:c r="BP18" t="str">
        <x:f>IF(COUNTIF(BG18:BN18,"INVALID")&gt;0,"INVALID",IF(COUNT(BG18:BN18)=0,"NOT ENTERED",IF(COUNT(BG18:BN18)&lt;7,"LOW COVERAGE","VALID")))</x:f>
        <x:v>NOT ENTERED</x:v>
      </x:c>
      <x:c r="BQ18" t="str">
        <x:f>IF(COUNTA(C18:H18)=0,"NOT ENTERED",IF(OR(COUNT(C18:H18)&lt;&gt;6,MIN(C18:H18)&lt;0,MAX(C18:H18)&gt;100),"INVALID",IF(ABS(SUM(C18:H18)-100)&lt;0.000001,"VALID","CHECK SHARES")))</x:f>
        <x:v>NOT ENTERED</x:v>
      </x:c>
    </x:row>
    <x:row r="19">
      <x:c r="BG19" t="str">
        <x:f>IF(J19="","",IFERROR((5-MATCH(J19,LOOKUPS!$A$2:$A$6,0))*25,"INVALID"))</x:f>
      </x:c>
      <x:c r="BH19" t="str">
        <x:f>IF(Q19="","",IFERROR((5-MATCH(Q19,LOOKUPS!$B$2:$B$6,0))*25,"INVALID"))</x:f>
      </x:c>
      <x:c r="BI19" t="str">
        <x:f>IF(W19="","",IFERROR((5-MATCH(W19,LOOKUPS!$C$2:$C$6,0))*25,"INVALID"))</x:f>
      </x:c>
      <x:c r="BJ19" t="str">
        <x:f>IF(AB19="","",IFERROR((5-MATCH(AB19,LOOKUPS!$D$2:$D$6,0))*25,"INVALID"))</x:f>
      </x:c>
      <x:c r="BK19" t="str">
        <x:f>IF(AF19="","",IFERROR((5-MATCH(AF19,LOOKUPS!$E$2:$E$6,0))*25,"INVALID"))</x:f>
      </x:c>
      <x:c r="BL19" t="str">
        <x:f>IF(AK19="","",IFERROR((5-MATCH(AK19,LOOKUPS!$F$2:$F$6,0))*25,"INVALID"))</x:f>
      </x:c>
      <x:c r="BM19" t="str">
        <x:f>IF(AO19="","",IFERROR((5-MATCH(AO19,LOOKUPS!$G$2:$G$6,0))*25,"INVALID"))</x:f>
      </x:c>
      <x:c r="BN19" t="str">
        <x:f>IF(AV19="","",IF(AV19="We have a full water system in-house (not dependent on any provider)","N/A",IFERROR((5-MATCH(AV19,LOOKUPS!$H$2:$H$7,0))*25,"INVALID")))</x:f>
      </x:c>
      <x:c r="BO19" t="str">
        <x:f>IF(COUNTIF(BG19:BN19,"INVALID")&gt;0,"",IF(COUNT(BG19:BN19)=0,"",ROUND(AVERAGE(BG19:BN19),6)))</x:f>
      </x:c>
      <x:c r="BP19" t="str">
        <x:f>IF(COUNTIF(BG19:BN19,"INVALID")&gt;0,"INVALID",IF(COUNT(BG19:BN19)=0,"NOT ENTERED",IF(COUNT(BG19:BN19)&lt;7,"LOW COVERAGE","VALID")))</x:f>
        <x:v>NOT ENTERED</x:v>
      </x:c>
      <x:c r="BQ19" t="str">
        <x:f>IF(COUNTA(C19:H19)=0,"NOT ENTERED",IF(OR(COUNT(C19:H19)&lt;&gt;6,MIN(C19:H19)&lt;0,MAX(C19:H19)&gt;100),"INVALID",IF(ABS(SUM(C19:H19)-100)&lt;0.000001,"VALID","CHECK SHARES")))</x:f>
        <x:v>NOT ENTERED</x:v>
      </x:c>
    </x:row>
    <x:row r="20">
      <x:c r="BG20" t="str">
        <x:f>IF(J20="","",IFERROR((5-MATCH(J20,LOOKUPS!$A$2:$A$6,0))*25,"INVALID"))</x:f>
      </x:c>
      <x:c r="BH20" t="str">
        <x:f>IF(Q20="","",IFERROR((5-MATCH(Q20,LOOKUPS!$B$2:$B$6,0))*25,"INVALID"))</x:f>
      </x:c>
      <x:c r="BI20" t="str">
        <x:f>IF(W20="","",IFERROR((5-MATCH(W20,LOOKUPS!$C$2:$C$6,0))*25,"INVALID"))</x:f>
      </x:c>
      <x:c r="BJ20" t="str">
        <x:f>IF(AB20="","",IFERROR((5-MATCH(AB20,LOOKUPS!$D$2:$D$6,0))*25,"INVALID"))</x:f>
      </x:c>
      <x:c r="BK20" t="str">
        <x:f>IF(AF20="","",IFERROR((5-MATCH(AF20,LOOKUPS!$E$2:$E$6,0))*25,"INVALID"))</x:f>
      </x:c>
      <x:c r="BL20" t="str">
        <x:f>IF(AK20="","",IFERROR((5-MATCH(AK20,LOOKUPS!$F$2:$F$6,0))*25,"INVALID"))</x:f>
      </x:c>
      <x:c r="BM20" t="str">
        <x:f>IF(AO20="","",IFERROR((5-MATCH(AO20,LOOKUPS!$G$2:$G$6,0))*25,"INVALID"))</x:f>
      </x:c>
      <x:c r="BN20" t="str">
        <x:f>IF(AV20="","",IF(AV20="We have a full water system in-house (not dependent on any provider)","N/A",IFERROR((5-MATCH(AV20,LOOKUPS!$H$2:$H$7,0))*25,"INVALID")))</x:f>
      </x:c>
      <x:c r="BO20" t="str">
        <x:f>IF(COUNTIF(BG20:BN20,"INVALID")&gt;0,"",IF(COUNT(BG20:BN20)=0,"",ROUND(AVERAGE(BG20:BN20),6)))</x:f>
      </x:c>
      <x:c r="BP20" t="str">
        <x:f>IF(COUNTIF(BG20:BN20,"INVALID")&gt;0,"INVALID",IF(COUNT(BG20:BN20)=0,"NOT ENTERED",IF(COUNT(BG20:BN20)&lt;7,"LOW COVERAGE","VALID")))</x:f>
        <x:v>NOT ENTERED</x:v>
      </x:c>
      <x:c r="BQ20" t="str">
        <x:f>IF(COUNTA(C20:H20)=0,"NOT ENTERED",IF(OR(COUNT(C20:H20)&lt;&gt;6,MIN(C20:H20)&lt;0,MAX(C20:H20)&gt;100),"INVALID",IF(ABS(SUM(C20:H20)-100)&lt;0.000001,"VALID","CHECK SHARES")))</x:f>
        <x:v>NOT ENTERED</x:v>
      </x:c>
    </x:row>
    <x:row r="21">
      <x:c r="BG21" t="str">
        <x:f>IF(J21="","",IFERROR((5-MATCH(J21,LOOKUPS!$A$2:$A$6,0))*25,"INVALID"))</x:f>
      </x:c>
      <x:c r="BH21" t="str">
        <x:f>IF(Q21="","",IFERROR((5-MATCH(Q21,LOOKUPS!$B$2:$B$6,0))*25,"INVALID"))</x:f>
      </x:c>
      <x:c r="BI21" t="str">
        <x:f>IF(W21="","",IFERROR((5-MATCH(W21,LOOKUPS!$C$2:$C$6,0))*25,"INVALID"))</x:f>
      </x:c>
      <x:c r="BJ21" t="str">
        <x:f>IF(AB21="","",IFERROR((5-MATCH(AB21,LOOKUPS!$D$2:$D$6,0))*25,"INVALID"))</x:f>
      </x:c>
      <x:c r="BK21" t="str">
        <x:f>IF(AF21="","",IFERROR((5-MATCH(AF21,LOOKUPS!$E$2:$E$6,0))*25,"INVALID"))</x:f>
      </x:c>
      <x:c r="BL21" t="str">
        <x:f>IF(AK21="","",IFERROR((5-MATCH(AK21,LOOKUPS!$F$2:$F$6,0))*25,"INVALID"))</x:f>
      </x:c>
      <x:c r="BM21" t="str">
        <x:f>IF(AO21="","",IFERROR((5-MATCH(AO21,LOOKUPS!$G$2:$G$6,0))*25,"INVALID"))</x:f>
      </x:c>
      <x:c r="BN21" t="str">
        <x:f>IF(AV21="","",IF(AV21="We have a full water system in-house (not dependent on any provider)","N/A",IFERROR((5-MATCH(AV21,LOOKUPS!$H$2:$H$7,0))*25,"INVALID")))</x:f>
      </x:c>
      <x:c r="BO21" t="str">
        <x:f>IF(COUNTIF(BG21:BN21,"INVALID")&gt;0,"",IF(COUNT(BG21:BN21)=0,"",ROUND(AVERAGE(BG21:BN21),6)))</x:f>
      </x:c>
      <x:c r="BP21" t="str">
        <x:f>IF(COUNTIF(BG21:BN21,"INVALID")&gt;0,"INVALID",IF(COUNT(BG21:BN21)=0,"NOT ENTERED",IF(COUNT(BG21:BN21)&lt;7,"LOW COVERAGE","VALID")))</x:f>
        <x:v>NOT ENTERED</x:v>
      </x:c>
      <x:c r="BQ21" t="str">
        <x:f>IF(COUNTA(C21:H21)=0,"NOT ENTERED",IF(OR(COUNT(C21:H21)&lt;&gt;6,MIN(C21:H21)&lt;0,MAX(C21:H21)&gt;100),"INVALID",IF(ABS(SUM(C21:H21)-100)&lt;0.000001,"VALID","CHECK SHARES")))</x:f>
        <x:v>NOT ENTERED</x:v>
      </x:c>
    </x:row>
    <x:row r="22">
      <x:c r="BG22" t="str">
        <x:f>IF(J22="","",IFERROR((5-MATCH(J22,LOOKUPS!$A$2:$A$6,0))*25,"INVALID"))</x:f>
      </x:c>
      <x:c r="BH22" t="str">
        <x:f>IF(Q22="","",IFERROR((5-MATCH(Q22,LOOKUPS!$B$2:$B$6,0))*25,"INVALID"))</x:f>
      </x:c>
      <x:c r="BI22" t="str">
        <x:f>IF(W22="","",IFERROR((5-MATCH(W22,LOOKUPS!$C$2:$C$6,0))*25,"INVALID"))</x:f>
      </x:c>
      <x:c r="BJ22" t="str">
        <x:f>IF(AB22="","",IFERROR((5-MATCH(AB22,LOOKUPS!$D$2:$D$6,0))*25,"INVALID"))</x:f>
      </x:c>
      <x:c r="BK22" t="str">
        <x:f>IF(AF22="","",IFERROR((5-MATCH(AF22,LOOKUPS!$E$2:$E$6,0))*25,"INVALID"))</x:f>
      </x:c>
      <x:c r="BL22" t="str">
        <x:f>IF(AK22="","",IFERROR((5-MATCH(AK22,LOOKUPS!$F$2:$F$6,0))*25,"INVALID"))</x:f>
      </x:c>
      <x:c r="BM22" t="str">
        <x:f>IF(AO22="","",IFERROR((5-MATCH(AO22,LOOKUPS!$G$2:$G$6,0))*25,"INVALID"))</x:f>
      </x:c>
      <x:c r="BN22" t="str">
        <x:f>IF(AV22="","",IF(AV22="We have a full water system in-house (not dependent on any provider)","N/A",IFERROR((5-MATCH(AV22,LOOKUPS!$H$2:$H$7,0))*25,"INVALID")))</x:f>
      </x:c>
      <x:c r="BO22" t="str">
        <x:f>IF(COUNTIF(BG22:BN22,"INVALID")&gt;0,"",IF(COUNT(BG22:BN22)=0,"",ROUND(AVERAGE(BG22:BN22),6)))</x:f>
      </x:c>
      <x:c r="BP22" t="str">
        <x:f>IF(COUNTIF(BG22:BN22,"INVALID")&gt;0,"INVALID",IF(COUNT(BG22:BN22)=0,"NOT ENTERED",IF(COUNT(BG22:BN22)&lt;7,"LOW COVERAGE","VALID")))</x:f>
        <x:v>NOT ENTERED</x:v>
      </x:c>
      <x:c r="BQ22" t="str">
        <x:f>IF(COUNTA(C22:H22)=0,"NOT ENTERED",IF(OR(COUNT(C22:H22)&lt;&gt;6,MIN(C22:H22)&lt;0,MAX(C22:H22)&gt;100),"INVALID",IF(ABS(SUM(C22:H22)-100)&lt;0.000001,"VALID","CHECK SHARES")))</x:f>
        <x:v>NOT ENTERED</x:v>
      </x:c>
    </x:row>
    <x:row r="23">
      <x:c r="BG23" t="str">
        <x:f>IF(J23="","",IFERROR((5-MATCH(J23,LOOKUPS!$A$2:$A$6,0))*25,"INVALID"))</x:f>
      </x:c>
      <x:c r="BH23" t="str">
        <x:f>IF(Q23="","",IFERROR((5-MATCH(Q23,LOOKUPS!$B$2:$B$6,0))*25,"INVALID"))</x:f>
      </x:c>
      <x:c r="BI23" t="str">
        <x:f>IF(W23="","",IFERROR((5-MATCH(W23,LOOKUPS!$C$2:$C$6,0))*25,"INVALID"))</x:f>
      </x:c>
      <x:c r="BJ23" t="str">
        <x:f>IF(AB23="","",IFERROR((5-MATCH(AB23,LOOKUPS!$D$2:$D$6,0))*25,"INVALID"))</x:f>
      </x:c>
      <x:c r="BK23" t="str">
        <x:f>IF(AF23="","",IFERROR((5-MATCH(AF23,LOOKUPS!$E$2:$E$6,0))*25,"INVALID"))</x:f>
      </x:c>
      <x:c r="BL23" t="str">
        <x:f>IF(AK23="","",IFERROR((5-MATCH(AK23,LOOKUPS!$F$2:$F$6,0))*25,"INVALID"))</x:f>
      </x:c>
      <x:c r="BM23" t="str">
        <x:f>IF(AO23="","",IFERROR((5-MATCH(AO23,LOOKUPS!$G$2:$G$6,0))*25,"INVALID"))</x:f>
      </x:c>
      <x:c r="BN23" t="str">
        <x:f>IF(AV23="","",IF(AV23="We have a full water system in-house (not dependent on any provider)","N/A",IFERROR((5-MATCH(AV23,LOOKUPS!$H$2:$H$7,0))*25,"INVALID")))</x:f>
      </x:c>
      <x:c r="BO23" t="str">
        <x:f>IF(COUNTIF(BG23:BN23,"INVALID")&gt;0,"",IF(COUNT(BG23:BN23)=0,"",ROUND(AVERAGE(BG23:BN23),6)))</x:f>
      </x:c>
      <x:c r="BP23" t="str">
        <x:f>IF(COUNTIF(BG23:BN23,"INVALID")&gt;0,"INVALID",IF(COUNT(BG23:BN23)=0,"NOT ENTERED",IF(COUNT(BG23:BN23)&lt;7,"LOW COVERAGE","VALID")))</x:f>
        <x:v>NOT ENTERED</x:v>
      </x:c>
      <x:c r="BQ23" t="str">
        <x:f>IF(COUNTA(C23:H23)=0,"NOT ENTERED",IF(OR(COUNT(C23:H23)&lt;&gt;6,MIN(C23:H23)&lt;0,MAX(C23:H23)&gt;100),"INVALID",IF(ABS(SUM(C23:H23)-100)&lt;0.000001,"VALID","CHECK SHARES")))</x:f>
        <x:v>NOT ENTERED</x:v>
      </x:c>
    </x:row>
    <x:row r="24">
      <x:c r="BG24" t="str">
        <x:f>IF(J24="","",IFERROR((5-MATCH(J24,LOOKUPS!$A$2:$A$6,0))*25,"INVALID"))</x:f>
      </x:c>
      <x:c r="BH24" t="str">
        <x:f>IF(Q24="","",IFERROR((5-MATCH(Q24,LOOKUPS!$B$2:$B$6,0))*25,"INVALID"))</x:f>
      </x:c>
      <x:c r="BI24" t="str">
        <x:f>IF(W24="","",IFERROR((5-MATCH(W24,LOOKUPS!$C$2:$C$6,0))*25,"INVALID"))</x:f>
      </x:c>
      <x:c r="BJ24" t="str">
        <x:f>IF(AB24="","",IFERROR((5-MATCH(AB24,LOOKUPS!$D$2:$D$6,0))*25,"INVALID"))</x:f>
      </x:c>
      <x:c r="BK24" t="str">
        <x:f>IF(AF24="","",IFERROR((5-MATCH(AF24,LOOKUPS!$E$2:$E$6,0))*25,"INVALID"))</x:f>
      </x:c>
      <x:c r="BL24" t="str">
        <x:f>IF(AK24="","",IFERROR((5-MATCH(AK24,LOOKUPS!$F$2:$F$6,0))*25,"INVALID"))</x:f>
      </x:c>
      <x:c r="BM24" t="str">
        <x:f>IF(AO24="","",IFERROR((5-MATCH(AO24,LOOKUPS!$G$2:$G$6,0))*25,"INVALID"))</x:f>
      </x:c>
      <x:c r="BN24" t="str">
        <x:f>IF(AV24="","",IF(AV24="We have a full water system in-house (not dependent on any provider)","N/A",IFERROR((5-MATCH(AV24,LOOKUPS!$H$2:$H$7,0))*25,"INVALID")))</x:f>
      </x:c>
      <x:c r="BO24" t="str">
        <x:f>IF(COUNTIF(BG24:BN24,"INVALID")&gt;0,"",IF(COUNT(BG24:BN24)=0,"",ROUND(AVERAGE(BG24:BN24),6)))</x:f>
      </x:c>
      <x:c r="BP24" t="str">
        <x:f>IF(COUNTIF(BG24:BN24,"INVALID")&gt;0,"INVALID",IF(COUNT(BG24:BN24)=0,"NOT ENTERED",IF(COUNT(BG24:BN24)&lt;7,"LOW COVERAGE","VALID")))</x:f>
        <x:v>NOT ENTERED</x:v>
      </x:c>
      <x:c r="BQ24" t="str">
        <x:f>IF(COUNTA(C24:H24)=0,"NOT ENTERED",IF(OR(COUNT(C24:H24)&lt;&gt;6,MIN(C24:H24)&lt;0,MAX(C24:H24)&gt;100),"INVALID",IF(ABS(SUM(C24:H24)-100)&lt;0.000001,"VALID","CHECK SHARES")))</x:f>
        <x:v>NOT ENTERED</x:v>
      </x:c>
    </x:row>
    <x:row r="25">
      <x:c r="BG25" t="str">
        <x:f>IF(J25="","",IFERROR((5-MATCH(J25,LOOKUPS!$A$2:$A$6,0))*25,"INVALID"))</x:f>
      </x:c>
      <x:c r="BH25" t="str">
        <x:f>IF(Q25="","",IFERROR((5-MATCH(Q25,LOOKUPS!$B$2:$B$6,0))*25,"INVALID"))</x:f>
      </x:c>
      <x:c r="BI25" t="str">
        <x:f>IF(W25="","",IFERROR((5-MATCH(W25,LOOKUPS!$C$2:$C$6,0))*25,"INVALID"))</x:f>
      </x:c>
      <x:c r="BJ25" t="str">
        <x:f>IF(AB25="","",IFERROR((5-MATCH(AB25,LOOKUPS!$D$2:$D$6,0))*25,"INVALID"))</x:f>
      </x:c>
      <x:c r="BK25" t="str">
        <x:f>IF(AF25="","",IFERROR((5-MATCH(AF25,LOOKUPS!$E$2:$E$6,0))*25,"INVALID"))</x:f>
      </x:c>
      <x:c r="BL25" t="str">
        <x:f>IF(AK25="","",IFERROR((5-MATCH(AK25,LOOKUPS!$F$2:$F$6,0))*25,"INVALID"))</x:f>
      </x:c>
      <x:c r="BM25" t="str">
        <x:f>IF(AO25="","",IFERROR((5-MATCH(AO25,LOOKUPS!$G$2:$G$6,0))*25,"INVALID"))</x:f>
      </x:c>
      <x:c r="BN25" t="str">
        <x:f>IF(AV25="","",IF(AV25="We have a full water system in-house (not dependent on any provider)","N/A",IFERROR((5-MATCH(AV25,LOOKUPS!$H$2:$H$7,0))*25,"INVALID")))</x:f>
      </x:c>
      <x:c r="BO25" t="str">
        <x:f>IF(COUNTIF(BG25:BN25,"INVALID")&gt;0,"",IF(COUNT(BG25:BN25)=0,"",ROUND(AVERAGE(BG25:BN25),6)))</x:f>
      </x:c>
      <x:c r="BP25" t="str">
        <x:f>IF(COUNTIF(BG25:BN25,"INVALID")&gt;0,"INVALID",IF(COUNT(BG25:BN25)=0,"NOT ENTERED",IF(COUNT(BG25:BN25)&lt;7,"LOW COVERAGE","VALID")))</x:f>
        <x:v>NOT ENTERED</x:v>
      </x:c>
      <x:c r="BQ25" t="str">
        <x:f>IF(COUNTA(C25:H25)=0,"NOT ENTERED",IF(OR(COUNT(C25:H25)&lt;&gt;6,MIN(C25:H25)&lt;0,MAX(C25:H25)&gt;100),"INVALID",IF(ABS(SUM(C25:H25)-100)&lt;0.000001,"VALID","CHECK SHARES")))</x:f>
        <x:v>NOT ENTERED</x:v>
      </x:c>
    </x:row>
    <x:row r="26">
      <x:c r="BG26" t="str">
        <x:f>IF(J26="","",IFERROR((5-MATCH(J26,LOOKUPS!$A$2:$A$6,0))*25,"INVALID"))</x:f>
      </x:c>
      <x:c r="BH26" t="str">
        <x:f>IF(Q26="","",IFERROR((5-MATCH(Q26,LOOKUPS!$B$2:$B$6,0))*25,"INVALID"))</x:f>
      </x:c>
      <x:c r="BI26" t="str">
        <x:f>IF(W26="","",IFERROR((5-MATCH(W26,LOOKUPS!$C$2:$C$6,0))*25,"INVALID"))</x:f>
      </x:c>
      <x:c r="BJ26" t="str">
        <x:f>IF(AB26="","",IFERROR((5-MATCH(AB26,LOOKUPS!$D$2:$D$6,0))*25,"INVALID"))</x:f>
      </x:c>
      <x:c r="BK26" t="str">
        <x:f>IF(AF26="","",IFERROR((5-MATCH(AF26,LOOKUPS!$E$2:$E$6,0))*25,"INVALID"))</x:f>
      </x:c>
      <x:c r="BL26" t="str">
        <x:f>IF(AK26="","",IFERROR((5-MATCH(AK26,LOOKUPS!$F$2:$F$6,0))*25,"INVALID"))</x:f>
      </x:c>
      <x:c r="BM26" t="str">
        <x:f>IF(AO26="","",IFERROR((5-MATCH(AO26,LOOKUPS!$G$2:$G$6,0))*25,"INVALID"))</x:f>
      </x:c>
      <x:c r="BN26" t="str">
        <x:f>IF(AV26="","",IF(AV26="We have a full water system in-house (not dependent on any provider)","N/A",IFERROR((5-MATCH(AV26,LOOKUPS!$H$2:$H$7,0))*25,"INVALID")))</x:f>
      </x:c>
      <x:c r="BO26" t="str">
        <x:f>IF(COUNTIF(BG26:BN26,"INVALID")&gt;0,"",IF(COUNT(BG26:BN26)=0,"",ROUND(AVERAGE(BG26:BN26),6)))</x:f>
      </x:c>
      <x:c r="BP26" t="str">
        <x:f>IF(COUNTIF(BG26:BN26,"INVALID")&gt;0,"INVALID",IF(COUNT(BG26:BN26)=0,"NOT ENTERED",IF(COUNT(BG26:BN26)&lt;7,"LOW COVERAGE","VALID")))</x:f>
        <x:v>NOT ENTERED</x:v>
      </x:c>
      <x:c r="BQ26" t="str">
        <x:f>IF(COUNTA(C26:H26)=0,"NOT ENTERED",IF(OR(COUNT(C26:H26)&lt;&gt;6,MIN(C26:H26)&lt;0,MAX(C26:H26)&gt;100),"INVALID",IF(ABS(SUM(C26:H26)-100)&lt;0.000001,"VALID","CHECK SHARES")))</x:f>
        <x:v>NOT ENTERED</x:v>
      </x:c>
    </x:row>
    <x:row r="27">
      <x:c r="BG27" t="str">
        <x:f>IF(J27="","",IFERROR((5-MATCH(J27,LOOKUPS!$A$2:$A$6,0))*25,"INVALID"))</x:f>
      </x:c>
      <x:c r="BH27" t="str">
        <x:f>IF(Q27="","",IFERROR((5-MATCH(Q27,LOOKUPS!$B$2:$B$6,0))*25,"INVALID"))</x:f>
      </x:c>
      <x:c r="BI27" t="str">
        <x:f>IF(W27="","",IFERROR((5-MATCH(W27,LOOKUPS!$C$2:$C$6,0))*25,"INVALID"))</x:f>
      </x:c>
      <x:c r="BJ27" t="str">
        <x:f>IF(AB27="","",IFERROR((5-MATCH(AB27,LOOKUPS!$D$2:$D$6,0))*25,"INVALID"))</x:f>
      </x:c>
      <x:c r="BK27" t="str">
        <x:f>IF(AF27="","",IFERROR((5-MATCH(AF27,LOOKUPS!$E$2:$E$6,0))*25,"INVALID"))</x:f>
      </x:c>
      <x:c r="BL27" t="str">
        <x:f>IF(AK27="","",IFERROR((5-MATCH(AK27,LOOKUPS!$F$2:$F$6,0))*25,"INVALID"))</x:f>
      </x:c>
      <x:c r="BM27" t="str">
        <x:f>IF(AO27="","",IFERROR((5-MATCH(AO27,LOOKUPS!$G$2:$G$6,0))*25,"INVALID"))</x:f>
      </x:c>
      <x:c r="BN27" t="str">
        <x:f>IF(AV27="","",IF(AV27="We have a full water system in-house (not dependent on any provider)","N/A",IFERROR((5-MATCH(AV27,LOOKUPS!$H$2:$H$7,0))*25,"INVALID")))</x:f>
      </x:c>
      <x:c r="BO27" t="str">
        <x:f>IF(COUNTIF(BG27:BN27,"INVALID")&gt;0,"",IF(COUNT(BG27:BN27)=0,"",ROUND(AVERAGE(BG27:BN27),6)))</x:f>
      </x:c>
      <x:c r="BP27" t="str">
        <x:f>IF(COUNTIF(BG27:BN27,"INVALID")&gt;0,"INVALID",IF(COUNT(BG27:BN27)=0,"NOT ENTERED",IF(COUNT(BG27:BN27)&lt;7,"LOW COVERAGE","VALID")))</x:f>
        <x:v>NOT ENTERED</x:v>
      </x:c>
      <x:c r="BQ27" t="str">
        <x:f>IF(COUNTA(C27:H27)=0,"NOT ENTERED",IF(OR(COUNT(C27:H27)&lt;&gt;6,MIN(C27:H27)&lt;0,MAX(C27:H27)&gt;100),"INVALID",IF(ABS(SUM(C27:H27)-100)&lt;0.000001,"VALID","CHECK SHARES")))</x:f>
        <x:v>NOT ENTERED</x:v>
      </x:c>
    </x:row>
    <x:row r="28">
      <x:c r="BG28" t="str">
        <x:f>IF(J28="","",IFERROR((5-MATCH(J28,LOOKUPS!$A$2:$A$6,0))*25,"INVALID"))</x:f>
      </x:c>
      <x:c r="BH28" t="str">
        <x:f>IF(Q28="","",IFERROR((5-MATCH(Q28,LOOKUPS!$B$2:$B$6,0))*25,"INVALID"))</x:f>
      </x:c>
      <x:c r="BI28" t="str">
        <x:f>IF(W28="","",IFERROR((5-MATCH(W28,LOOKUPS!$C$2:$C$6,0))*25,"INVALID"))</x:f>
      </x:c>
      <x:c r="BJ28" t="str">
        <x:f>IF(AB28="","",IFERROR((5-MATCH(AB28,LOOKUPS!$D$2:$D$6,0))*25,"INVALID"))</x:f>
      </x:c>
      <x:c r="BK28" t="str">
        <x:f>IF(AF28="","",IFERROR((5-MATCH(AF28,LOOKUPS!$E$2:$E$6,0))*25,"INVALID"))</x:f>
      </x:c>
      <x:c r="BL28" t="str">
        <x:f>IF(AK28="","",IFERROR((5-MATCH(AK28,LOOKUPS!$F$2:$F$6,0))*25,"INVALID"))</x:f>
      </x:c>
      <x:c r="BM28" t="str">
        <x:f>IF(AO28="","",IFERROR((5-MATCH(AO28,LOOKUPS!$G$2:$G$6,0))*25,"INVALID"))</x:f>
      </x:c>
      <x:c r="BN28" t="str">
        <x:f>IF(AV28="","",IF(AV28="We have a full water system in-house (not dependent on any provider)","N/A",IFERROR((5-MATCH(AV28,LOOKUPS!$H$2:$H$7,0))*25,"INVALID")))</x:f>
      </x:c>
      <x:c r="BO28" t="str">
        <x:f>IF(COUNTIF(BG28:BN28,"INVALID")&gt;0,"",IF(COUNT(BG28:BN28)=0,"",ROUND(AVERAGE(BG28:BN28),6)))</x:f>
      </x:c>
      <x:c r="BP28" t="str">
        <x:f>IF(COUNTIF(BG28:BN28,"INVALID")&gt;0,"INVALID",IF(COUNT(BG28:BN28)=0,"NOT ENTERED",IF(COUNT(BG28:BN28)&lt;7,"LOW COVERAGE","VALID")))</x:f>
        <x:v>NOT ENTERED</x:v>
      </x:c>
      <x:c r="BQ28" t="str">
        <x:f>IF(COUNTA(C28:H28)=0,"NOT ENTERED",IF(OR(COUNT(C28:H28)&lt;&gt;6,MIN(C28:H28)&lt;0,MAX(C28:H28)&gt;100),"INVALID",IF(ABS(SUM(C28:H28)-100)&lt;0.000001,"VALID","CHECK SHARES")))</x:f>
        <x:v>NOT ENTERED</x:v>
      </x:c>
    </x:row>
    <x:row r="29">
      <x:c r="BG29" t="str">
        <x:f>IF(J29="","",IFERROR((5-MATCH(J29,LOOKUPS!$A$2:$A$6,0))*25,"INVALID"))</x:f>
      </x:c>
      <x:c r="BH29" t="str">
        <x:f>IF(Q29="","",IFERROR((5-MATCH(Q29,LOOKUPS!$B$2:$B$6,0))*25,"INVALID"))</x:f>
      </x:c>
      <x:c r="BI29" t="str">
        <x:f>IF(W29="","",IFERROR((5-MATCH(W29,LOOKUPS!$C$2:$C$6,0))*25,"INVALID"))</x:f>
      </x:c>
      <x:c r="BJ29" t="str">
        <x:f>IF(AB29="","",IFERROR((5-MATCH(AB29,LOOKUPS!$D$2:$D$6,0))*25,"INVALID"))</x:f>
      </x:c>
      <x:c r="BK29" t="str">
        <x:f>IF(AF29="","",IFERROR((5-MATCH(AF29,LOOKUPS!$E$2:$E$6,0))*25,"INVALID"))</x:f>
      </x:c>
      <x:c r="BL29" t="str">
        <x:f>IF(AK29="","",IFERROR((5-MATCH(AK29,LOOKUPS!$F$2:$F$6,0))*25,"INVALID"))</x:f>
      </x:c>
      <x:c r="BM29" t="str">
        <x:f>IF(AO29="","",IFERROR((5-MATCH(AO29,LOOKUPS!$G$2:$G$6,0))*25,"INVALID"))</x:f>
      </x:c>
      <x:c r="BN29" t="str">
        <x:f>IF(AV29="","",IF(AV29="We have a full water system in-house (not dependent on any provider)","N/A",IFERROR((5-MATCH(AV29,LOOKUPS!$H$2:$H$7,0))*25,"INVALID")))</x:f>
      </x:c>
      <x:c r="BO29" t="str">
        <x:f>IF(COUNTIF(BG29:BN29,"INVALID")&gt;0,"",IF(COUNT(BG29:BN29)=0,"",ROUND(AVERAGE(BG29:BN29),6)))</x:f>
      </x:c>
      <x:c r="BP29" t="str">
        <x:f>IF(COUNTIF(BG29:BN29,"INVALID")&gt;0,"INVALID",IF(COUNT(BG29:BN29)=0,"NOT ENTERED",IF(COUNT(BG29:BN29)&lt;7,"LOW COVERAGE","VALID")))</x:f>
        <x:v>NOT ENTERED</x:v>
      </x:c>
      <x:c r="BQ29" t="str">
        <x:f>IF(COUNTA(C29:H29)=0,"NOT ENTERED",IF(OR(COUNT(C29:H29)&lt;&gt;6,MIN(C29:H29)&lt;0,MAX(C29:H29)&gt;100),"INVALID",IF(ABS(SUM(C29:H29)-100)&lt;0.000001,"VALID","CHECK SHARES")))</x:f>
        <x:v>NOT ENTERED</x:v>
      </x:c>
    </x:row>
    <x:row r="30">
      <x:c r="BG30" t="str">
        <x:f>IF(J30="","",IFERROR((5-MATCH(J30,LOOKUPS!$A$2:$A$6,0))*25,"INVALID"))</x:f>
      </x:c>
      <x:c r="BH30" t="str">
        <x:f>IF(Q30="","",IFERROR((5-MATCH(Q30,LOOKUPS!$B$2:$B$6,0))*25,"INVALID"))</x:f>
      </x:c>
      <x:c r="BI30" t="str">
        <x:f>IF(W30="","",IFERROR((5-MATCH(W30,LOOKUPS!$C$2:$C$6,0))*25,"INVALID"))</x:f>
      </x:c>
      <x:c r="BJ30" t="str">
        <x:f>IF(AB30="","",IFERROR((5-MATCH(AB30,LOOKUPS!$D$2:$D$6,0))*25,"INVALID"))</x:f>
      </x:c>
      <x:c r="BK30" t="str">
        <x:f>IF(AF30="","",IFERROR((5-MATCH(AF30,LOOKUPS!$E$2:$E$6,0))*25,"INVALID"))</x:f>
      </x:c>
      <x:c r="BL30" t="str">
        <x:f>IF(AK30="","",IFERROR((5-MATCH(AK30,LOOKUPS!$F$2:$F$6,0))*25,"INVALID"))</x:f>
      </x:c>
      <x:c r="BM30" t="str">
        <x:f>IF(AO30="","",IFERROR((5-MATCH(AO30,LOOKUPS!$G$2:$G$6,0))*25,"INVALID"))</x:f>
      </x:c>
      <x:c r="BN30" t="str">
        <x:f>IF(AV30="","",IF(AV30="We have a full water system in-house (not dependent on any provider)","N/A",IFERROR((5-MATCH(AV30,LOOKUPS!$H$2:$H$7,0))*25,"INVALID")))</x:f>
      </x:c>
      <x:c r="BO30" t="str">
        <x:f>IF(COUNTIF(BG30:BN30,"INVALID")&gt;0,"",IF(COUNT(BG30:BN30)=0,"",ROUND(AVERAGE(BG30:BN30),6)))</x:f>
      </x:c>
      <x:c r="BP30" t="str">
        <x:f>IF(COUNTIF(BG30:BN30,"INVALID")&gt;0,"INVALID",IF(COUNT(BG30:BN30)=0,"NOT ENTERED",IF(COUNT(BG30:BN30)&lt;7,"LOW COVERAGE","VALID")))</x:f>
        <x:v>NOT ENTERED</x:v>
      </x:c>
      <x:c r="BQ30" t="str">
        <x:f>IF(COUNTA(C30:H30)=0,"NOT ENTERED",IF(OR(COUNT(C30:H30)&lt;&gt;6,MIN(C30:H30)&lt;0,MAX(C30:H30)&gt;100),"INVALID",IF(ABS(SUM(C30:H30)-100)&lt;0.000001,"VALID","CHECK SHARES")))</x:f>
        <x:v>NOT ENTERED</x:v>
      </x:c>
    </x:row>
    <x:row r="31">
      <x:c r="BG31" t="str">
        <x:f>IF(J31="","",IFERROR((5-MATCH(J31,LOOKUPS!$A$2:$A$6,0))*25,"INVALID"))</x:f>
      </x:c>
      <x:c r="BH31" t="str">
        <x:f>IF(Q31="","",IFERROR((5-MATCH(Q31,LOOKUPS!$B$2:$B$6,0))*25,"INVALID"))</x:f>
      </x:c>
      <x:c r="BI31" t="str">
        <x:f>IF(W31="","",IFERROR((5-MATCH(W31,LOOKUPS!$C$2:$C$6,0))*25,"INVALID"))</x:f>
      </x:c>
      <x:c r="BJ31" t="str">
        <x:f>IF(AB31="","",IFERROR((5-MATCH(AB31,LOOKUPS!$D$2:$D$6,0))*25,"INVALID"))</x:f>
      </x:c>
      <x:c r="BK31" t="str">
        <x:f>IF(AF31="","",IFERROR((5-MATCH(AF31,LOOKUPS!$E$2:$E$6,0))*25,"INVALID"))</x:f>
      </x:c>
      <x:c r="BL31" t="str">
        <x:f>IF(AK31="","",IFERROR((5-MATCH(AK31,LOOKUPS!$F$2:$F$6,0))*25,"INVALID"))</x:f>
      </x:c>
      <x:c r="BM31" t="str">
        <x:f>IF(AO31="","",IFERROR((5-MATCH(AO31,LOOKUPS!$G$2:$G$6,0))*25,"INVALID"))</x:f>
      </x:c>
      <x:c r="BN31" t="str">
        <x:f>IF(AV31="","",IF(AV31="We have a full water system in-house (not dependent on any provider)","N/A",IFERROR((5-MATCH(AV31,LOOKUPS!$H$2:$H$7,0))*25,"INVALID")))</x:f>
      </x:c>
      <x:c r="BO31" t="str">
        <x:f>IF(COUNTIF(BG31:BN31,"INVALID")&gt;0,"",IF(COUNT(BG31:BN31)=0,"",ROUND(AVERAGE(BG31:BN31),6)))</x:f>
      </x:c>
      <x:c r="BP31" t="str">
        <x:f>IF(COUNTIF(BG31:BN31,"INVALID")&gt;0,"INVALID",IF(COUNT(BG31:BN31)=0,"NOT ENTERED",IF(COUNT(BG31:BN31)&lt;7,"LOW COVERAGE","VALID")))</x:f>
        <x:v>NOT ENTERED</x:v>
      </x:c>
      <x:c r="BQ31" t="str">
        <x:f>IF(COUNTA(C31:H31)=0,"NOT ENTERED",IF(OR(COUNT(C31:H31)&lt;&gt;6,MIN(C31:H31)&lt;0,MAX(C31:H31)&gt;100),"INVALID",IF(ABS(SUM(C31:H31)-100)&lt;0.000001,"VALID","CHECK SHARES")))</x:f>
        <x:v>NOT ENTERED</x:v>
      </x:c>
    </x:row>
    <x:row r="32">
      <x:c r="BG32" t="str">
        <x:f>IF(J32="","",IFERROR((5-MATCH(J32,LOOKUPS!$A$2:$A$6,0))*25,"INVALID"))</x:f>
      </x:c>
      <x:c r="BH32" t="str">
        <x:f>IF(Q32="","",IFERROR((5-MATCH(Q32,LOOKUPS!$B$2:$B$6,0))*25,"INVALID"))</x:f>
      </x:c>
      <x:c r="BI32" t="str">
        <x:f>IF(W32="","",IFERROR((5-MATCH(W32,LOOKUPS!$C$2:$C$6,0))*25,"INVALID"))</x:f>
      </x:c>
      <x:c r="BJ32" t="str">
        <x:f>IF(AB32="","",IFERROR((5-MATCH(AB32,LOOKUPS!$D$2:$D$6,0))*25,"INVALID"))</x:f>
      </x:c>
      <x:c r="BK32" t="str">
        <x:f>IF(AF32="","",IFERROR((5-MATCH(AF32,LOOKUPS!$E$2:$E$6,0))*25,"INVALID"))</x:f>
      </x:c>
      <x:c r="BL32" t="str">
        <x:f>IF(AK32="","",IFERROR((5-MATCH(AK32,LOOKUPS!$F$2:$F$6,0))*25,"INVALID"))</x:f>
      </x:c>
      <x:c r="BM32" t="str">
        <x:f>IF(AO32="","",IFERROR((5-MATCH(AO32,LOOKUPS!$G$2:$G$6,0))*25,"INVALID"))</x:f>
      </x:c>
      <x:c r="BN32" t="str">
        <x:f>IF(AV32="","",IF(AV32="We have a full water system in-house (not dependent on any provider)","N/A",IFERROR((5-MATCH(AV32,LOOKUPS!$H$2:$H$7,0))*25,"INVALID")))</x:f>
      </x:c>
      <x:c r="BO32" t="str">
        <x:f>IF(COUNTIF(BG32:BN32,"INVALID")&gt;0,"",IF(COUNT(BG32:BN32)=0,"",ROUND(AVERAGE(BG32:BN32),6)))</x:f>
      </x:c>
      <x:c r="BP32" t="str">
        <x:f>IF(COUNTIF(BG32:BN32,"INVALID")&gt;0,"INVALID",IF(COUNT(BG32:BN32)=0,"NOT ENTERED",IF(COUNT(BG32:BN32)&lt;7,"LOW COVERAGE","VALID")))</x:f>
        <x:v>NOT ENTERED</x:v>
      </x:c>
      <x:c r="BQ32" t="str">
        <x:f>IF(COUNTA(C32:H32)=0,"NOT ENTERED",IF(OR(COUNT(C32:H32)&lt;&gt;6,MIN(C32:H32)&lt;0,MAX(C32:H32)&gt;100),"INVALID",IF(ABS(SUM(C32:H32)-100)&lt;0.000001,"VALID","CHECK SHARES")))</x:f>
        <x:v>NOT ENTERED</x:v>
      </x:c>
    </x:row>
    <x:row r="33">
      <x:c r="BG33" t="str">
        <x:f>IF(J33="","",IFERROR((5-MATCH(J33,LOOKUPS!$A$2:$A$6,0))*25,"INVALID"))</x:f>
      </x:c>
      <x:c r="BH33" t="str">
        <x:f>IF(Q33="","",IFERROR((5-MATCH(Q33,LOOKUPS!$B$2:$B$6,0))*25,"INVALID"))</x:f>
      </x:c>
      <x:c r="BI33" t="str">
        <x:f>IF(W33="","",IFERROR((5-MATCH(W33,LOOKUPS!$C$2:$C$6,0))*25,"INVALID"))</x:f>
      </x:c>
      <x:c r="BJ33" t="str">
        <x:f>IF(AB33="","",IFERROR((5-MATCH(AB33,LOOKUPS!$D$2:$D$6,0))*25,"INVALID"))</x:f>
      </x:c>
      <x:c r="BK33" t="str">
        <x:f>IF(AF33="","",IFERROR((5-MATCH(AF33,LOOKUPS!$E$2:$E$6,0))*25,"INVALID"))</x:f>
      </x:c>
      <x:c r="BL33" t="str">
        <x:f>IF(AK33="","",IFERROR((5-MATCH(AK33,LOOKUPS!$F$2:$F$6,0))*25,"INVALID"))</x:f>
      </x:c>
      <x:c r="BM33" t="str">
        <x:f>IF(AO33="","",IFERROR((5-MATCH(AO33,LOOKUPS!$G$2:$G$6,0))*25,"INVALID"))</x:f>
      </x:c>
      <x:c r="BN33" t="str">
        <x:f>IF(AV33="","",IF(AV33="We have a full water system in-house (not dependent on any provider)","N/A",IFERROR((5-MATCH(AV33,LOOKUPS!$H$2:$H$7,0))*25,"INVALID")))</x:f>
      </x:c>
      <x:c r="BO33" t="str">
        <x:f>IF(COUNTIF(BG33:BN33,"INVALID")&gt;0,"",IF(COUNT(BG33:BN33)=0,"",ROUND(AVERAGE(BG33:BN33),6)))</x:f>
      </x:c>
      <x:c r="BP33" t="str">
        <x:f>IF(COUNTIF(BG33:BN33,"INVALID")&gt;0,"INVALID",IF(COUNT(BG33:BN33)=0,"NOT ENTERED",IF(COUNT(BG33:BN33)&lt;7,"LOW COVERAGE","VALID")))</x:f>
        <x:v>NOT ENTERED</x:v>
      </x:c>
      <x:c r="BQ33" t="str">
        <x:f>IF(COUNTA(C33:H33)=0,"NOT ENTERED",IF(OR(COUNT(C33:H33)&lt;&gt;6,MIN(C33:H33)&lt;0,MAX(C33:H33)&gt;100),"INVALID",IF(ABS(SUM(C33:H33)-100)&lt;0.000001,"VALID","CHECK SHARES")))</x:f>
        <x:v>NOT ENTERED</x:v>
      </x:c>
    </x:row>
    <x:row r="34">
      <x:c r="BG34" t="str">
        <x:f>IF(J34="","",IFERROR((5-MATCH(J34,LOOKUPS!$A$2:$A$6,0))*25,"INVALID"))</x:f>
      </x:c>
      <x:c r="BH34" t="str">
        <x:f>IF(Q34="","",IFERROR((5-MATCH(Q34,LOOKUPS!$B$2:$B$6,0))*25,"INVALID"))</x:f>
      </x:c>
      <x:c r="BI34" t="str">
        <x:f>IF(W34="","",IFERROR((5-MATCH(W34,LOOKUPS!$C$2:$C$6,0))*25,"INVALID"))</x:f>
      </x:c>
      <x:c r="BJ34" t="str">
        <x:f>IF(AB34="","",IFERROR((5-MATCH(AB34,LOOKUPS!$D$2:$D$6,0))*25,"INVALID"))</x:f>
      </x:c>
      <x:c r="BK34" t="str">
        <x:f>IF(AF34="","",IFERROR((5-MATCH(AF34,LOOKUPS!$E$2:$E$6,0))*25,"INVALID"))</x:f>
      </x:c>
      <x:c r="BL34" t="str">
        <x:f>IF(AK34="","",IFERROR((5-MATCH(AK34,LOOKUPS!$F$2:$F$6,0))*25,"INVALID"))</x:f>
      </x:c>
      <x:c r="BM34" t="str">
        <x:f>IF(AO34="","",IFERROR((5-MATCH(AO34,LOOKUPS!$G$2:$G$6,0))*25,"INVALID"))</x:f>
      </x:c>
      <x:c r="BN34" t="str">
        <x:f>IF(AV34="","",IF(AV34="We have a full water system in-house (not dependent on any provider)","N/A",IFERROR((5-MATCH(AV34,LOOKUPS!$H$2:$H$7,0))*25,"INVALID")))</x:f>
      </x:c>
      <x:c r="BO34" t="str">
        <x:f>IF(COUNTIF(BG34:BN34,"INVALID")&gt;0,"",IF(COUNT(BG34:BN34)=0,"",ROUND(AVERAGE(BG34:BN34),6)))</x:f>
      </x:c>
      <x:c r="BP34" t="str">
        <x:f>IF(COUNTIF(BG34:BN34,"INVALID")&gt;0,"INVALID",IF(COUNT(BG34:BN34)=0,"NOT ENTERED",IF(COUNT(BG34:BN34)&lt;7,"LOW COVERAGE","VALID")))</x:f>
        <x:v>NOT ENTERED</x:v>
      </x:c>
      <x:c r="BQ34" t="str">
        <x:f>IF(COUNTA(C34:H34)=0,"NOT ENTERED",IF(OR(COUNT(C34:H34)&lt;&gt;6,MIN(C34:H34)&lt;0,MAX(C34:H34)&gt;100),"INVALID",IF(ABS(SUM(C34:H34)-100)&lt;0.000001,"VALID","CHECK SHARES")))</x:f>
        <x:v>NOT ENTERED</x:v>
      </x:c>
    </x:row>
    <x:row r="35">
      <x:c r="BG35" t="str">
        <x:f>IF(J35="","",IFERROR((5-MATCH(J35,LOOKUPS!$A$2:$A$6,0))*25,"INVALID"))</x:f>
      </x:c>
      <x:c r="BH35" t="str">
        <x:f>IF(Q35="","",IFERROR((5-MATCH(Q35,LOOKUPS!$B$2:$B$6,0))*25,"INVALID"))</x:f>
      </x:c>
      <x:c r="BI35" t="str">
        <x:f>IF(W35="","",IFERROR((5-MATCH(W35,LOOKUPS!$C$2:$C$6,0))*25,"INVALID"))</x:f>
      </x:c>
      <x:c r="BJ35" t="str">
        <x:f>IF(AB35="","",IFERROR((5-MATCH(AB35,LOOKUPS!$D$2:$D$6,0))*25,"INVALID"))</x:f>
      </x:c>
      <x:c r="BK35" t="str">
        <x:f>IF(AF35="","",IFERROR((5-MATCH(AF35,LOOKUPS!$E$2:$E$6,0))*25,"INVALID"))</x:f>
      </x:c>
      <x:c r="BL35" t="str">
        <x:f>IF(AK35="","",IFERROR((5-MATCH(AK35,LOOKUPS!$F$2:$F$6,0))*25,"INVALID"))</x:f>
      </x:c>
      <x:c r="BM35" t="str">
        <x:f>IF(AO35="","",IFERROR((5-MATCH(AO35,LOOKUPS!$G$2:$G$6,0))*25,"INVALID"))</x:f>
      </x:c>
      <x:c r="BN35" t="str">
        <x:f>IF(AV35="","",IF(AV35="We have a full water system in-house (not dependent on any provider)","N/A",IFERROR((5-MATCH(AV35,LOOKUPS!$H$2:$H$7,0))*25,"INVALID")))</x:f>
      </x:c>
      <x:c r="BO35" t="str">
        <x:f>IF(COUNTIF(BG35:BN35,"INVALID")&gt;0,"",IF(COUNT(BG35:BN35)=0,"",ROUND(AVERAGE(BG35:BN35),6)))</x:f>
      </x:c>
      <x:c r="BP35" t="str">
        <x:f>IF(COUNTIF(BG35:BN35,"INVALID")&gt;0,"INVALID",IF(COUNT(BG35:BN35)=0,"NOT ENTERED",IF(COUNT(BG35:BN35)&lt;7,"LOW COVERAGE","VALID")))</x:f>
        <x:v>NOT ENTERED</x:v>
      </x:c>
      <x:c r="BQ35" t="str">
        <x:f>IF(COUNTA(C35:H35)=0,"NOT ENTERED",IF(OR(COUNT(C35:H35)&lt;&gt;6,MIN(C35:H35)&lt;0,MAX(C35:H35)&gt;100),"INVALID",IF(ABS(SUM(C35:H35)-100)&lt;0.000001,"VALID","CHECK SHARES")))</x:f>
        <x:v>NOT ENTERED</x:v>
      </x:c>
    </x:row>
    <x:row r="36">
      <x:c r="BG36" t="str">
        <x:f>IF(J36="","",IFERROR((5-MATCH(J36,LOOKUPS!$A$2:$A$6,0))*25,"INVALID"))</x:f>
      </x:c>
      <x:c r="BH36" t="str">
        <x:f>IF(Q36="","",IFERROR((5-MATCH(Q36,LOOKUPS!$B$2:$B$6,0))*25,"INVALID"))</x:f>
      </x:c>
      <x:c r="BI36" t="str">
        <x:f>IF(W36="","",IFERROR((5-MATCH(W36,LOOKUPS!$C$2:$C$6,0))*25,"INVALID"))</x:f>
      </x:c>
      <x:c r="BJ36" t="str">
        <x:f>IF(AB36="","",IFERROR((5-MATCH(AB36,LOOKUPS!$D$2:$D$6,0))*25,"INVALID"))</x:f>
      </x:c>
      <x:c r="BK36" t="str">
        <x:f>IF(AF36="","",IFERROR((5-MATCH(AF36,LOOKUPS!$E$2:$E$6,0))*25,"INVALID"))</x:f>
      </x:c>
      <x:c r="BL36" t="str">
        <x:f>IF(AK36="","",IFERROR((5-MATCH(AK36,LOOKUPS!$F$2:$F$6,0))*25,"INVALID"))</x:f>
      </x:c>
      <x:c r="BM36" t="str">
        <x:f>IF(AO36="","",IFERROR((5-MATCH(AO36,LOOKUPS!$G$2:$G$6,0))*25,"INVALID"))</x:f>
      </x:c>
      <x:c r="BN36" t="str">
        <x:f>IF(AV36="","",IF(AV36="We have a full water system in-house (not dependent on any provider)","N/A",IFERROR((5-MATCH(AV36,LOOKUPS!$H$2:$H$7,0))*25,"INVALID")))</x:f>
      </x:c>
      <x:c r="BO36" t="str">
        <x:f>IF(COUNTIF(BG36:BN36,"INVALID")&gt;0,"",IF(COUNT(BG36:BN36)=0,"",ROUND(AVERAGE(BG36:BN36),6)))</x:f>
      </x:c>
      <x:c r="BP36" t="str">
        <x:f>IF(COUNTIF(BG36:BN36,"INVALID")&gt;0,"INVALID",IF(COUNT(BG36:BN36)=0,"NOT ENTERED",IF(COUNT(BG36:BN36)&lt;7,"LOW COVERAGE","VALID")))</x:f>
        <x:v>NOT ENTERED</x:v>
      </x:c>
      <x:c r="BQ36" t="str">
        <x:f>IF(COUNTA(C36:H36)=0,"NOT ENTERED",IF(OR(COUNT(C36:H36)&lt;&gt;6,MIN(C36:H36)&lt;0,MAX(C36:H36)&gt;100),"INVALID",IF(ABS(SUM(C36:H36)-100)&lt;0.000001,"VALID","CHECK SHARES")))</x:f>
        <x:v>NOT ENTERED</x:v>
      </x:c>
    </x:row>
    <x:row r="37">
      <x:c r="BG37" t="str">
        <x:f>IF(J37="","",IFERROR((5-MATCH(J37,LOOKUPS!$A$2:$A$6,0))*25,"INVALID"))</x:f>
      </x:c>
      <x:c r="BH37" t="str">
        <x:f>IF(Q37="","",IFERROR((5-MATCH(Q37,LOOKUPS!$B$2:$B$6,0))*25,"INVALID"))</x:f>
      </x:c>
      <x:c r="BI37" t="str">
        <x:f>IF(W37="","",IFERROR((5-MATCH(W37,LOOKUPS!$C$2:$C$6,0))*25,"INVALID"))</x:f>
      </x:c>
      <x:c r="BJ37" t="str">
        <x:f>IF(AB37="","",IFERROR((5-MATCH(AB37,LOOKUPS!$D$2:$D$6,0))*25,"INVALID"))</x:f>
      </x:c>
      <x:c r="BK37" t="str">
        <x:f>IF(AF37="","",IFERROR((5-MATCH(AF37,LOOKUPS!$E$2:$E$6,0))*25,"INVALID"))</x:f>
      </x:c>
      <x:c r="BL37" t="str">
        <x:f>IF(AK37="","",IFERROR((5-MATCH(AK37,LOOKUPS!$F$2:$F$6,0))*25,"INVALID"))</x:f>
      </x:c>
      <x:c r="BM37" t="str">
        <x:f>IF(AO37="","",IFERROR((5-MATCH(AO37,LOOKUPS!$G$2:$G$6,0))*25,"INVALID"))</x:f>
      </x:c>
      <x:c r="BN37" t="str">
        <x:f>IF(AV37="","",IF(AV37="We have a full water system in-house (not dependent on any provider)","N/A",IFERROR((5-MATCH(AV37,LOOKUPS!$H$2:$H$7,0))*25,"INVALID")))</x:f>
      </x:c>
      <x:c r="BO37" t="str">
        <x:f>IF(COUNTIF(BG37:BN37,"INVALID")&gt;0,"",IF(COUNT(BG37:BN37)=0,"",ROUND(AVERAGE(BG37:BN37),6)))</x:f>
      </x:c>
      <x:c r="BP37" t="str">
        <x:f>IF(COUNTIF(BG37:BN37,"INVALID")&gt;0,"INVALID",IF(COUNT(BG37:BN37)=0,"NOT ENTERED",IF(COUNT(BG37:BN37)&lt;7,"LOW COVERAGE","VALID")))</x:f>
        <x:v>NOT ENTERED</x:v>
      </x:c>
      <x:c r="BQ37" t="str">
        <x:f>IF(COUNTA(C37:H37)=0,"NOT ENTERED",IF(OR(COUNT(C37:H37)&lt;&gt;6,MIN(C37:H37)&lt;0,MAX(C37:H37)&gt;100),"INVALID",IF(ABS(SUM(C37:H37)-100)&lt;0.000001,"VALID","CHECK SHARES")))</x:f>
        <x:v>NOT ENTERED</x:v>
      </x:c>
    </x:row>
    <x:row r="38">
      <x:c r="BG38" t="str">
        <x:f>IF(J38="","",IFERROR((5-MATCH(J38,LOOKUPS!$A$2:$A$6,0))*25,"INVALID"))</x:f>
      </x:c>
      <x:c r="BH38" t="str">
        <x:f>IF(Q38="","",IFERROR((5-MATCH(Q38,LOOKUPS!$B$2:$B$6,0))*25,"INVALID"))</x:f>
      </x:c>
      <x:c r="BI38" t="str">
        <x:f>IF(W38="","",IFERROR((5-MATCH(W38,LOOKUPS!$C$2:$C$6,0))*25,"INVALID"))</x:f>
      </x:c>
      <x:c r="BJ38" t="str">
        <x:f>IF(AB38="","",IFERROR((5-MATCH(AB38,LOOKUPS!$D$2:$D$6,0))*25,"INVALID"))</x:f>
      </x:c>
      <x:c r="BK38" t="str">
        <x:f>IF(AF38="","",IFERROR((5-MATCH(AF38,LOOKUPS!$E$2:$E$6,0))*25,"INVALID"))</x:f>
      </x:c>
      <x:c r="BL38" t="str">
        <x:f>IF(AK38="","",IFERROR((5-MATCH(AK38,LOOKUPS!$F$2:$F$6,0))*25,"INVALID"))</x:f>
      </x:c>
      <x:c r="BM38" t="str">
        <x:f>IF(AO38="","",IFERROR((5-MATCH(AO38,LOOKUPS!$G$2:$G$6,0))*25,"INVALID"))</x:f>
      </x:c>
      <x:c r="BN38" t="str">
        <x:f>IF(AV38="","",IF(AV38="We have a full water system in-house (not dependent on any provider)","N/A",IFERROR((5-MATCH(AV38,LOOKUPS!$H$2:$H$7,0))*25,"INVALID")))</x:f>
      </x:c>
      <x:c r="BO38" t="str">
        <x:f>IF(COUNTIF(BG38:BN38,"INVALID")&gt;0,"",IF(COUNT(BG38:BN38)=0,"",ROUND(AVERAGE(BG38:BN38),6)))</x:f>
      </x:c>
      <x:c r="BP38" t="str">
        <x:f>IF(COUNTIF(BG38:BN38,"INVALID")&gt;0,"INVALID",IF(COUNT(BG38:BN38)=0,"NOT ENTERED",IF(COUNT(BG38:BN38)&lt;7,"LOW COVERAGE","VALID")))</x:f>
        <x:v>NOT ENTERED</x:v>
      </x:c>
      <x:c r="BQ38" t="str">
        <x:f>IF(COUNTA(C38:H38)=0,"NOT ENTERED",IF(OR(COUNT(C38:H38)&lt;&gt;6,MIN(C38:H38)&lt;0,MAX(C38:H38)&gt;100),"INVALID",IF(ABS(SUM(C38:H38)-100)&lt;0.000001,"VALID","CHECK SHARES")))</x:f>
        <x:v>NOT ENTERED</x:v>
      </x:c>
    </x:row>
    <x:row r="39">
      <x:c r="BG39" t="str">
        <x:f>IF(J39="","",IFERROR((5-MATCH(J39,LOOKUPS!$A$2:$A$6,0))*25,"INVALID"))</x:f>
      </x:c>
      <x:c r="BH39" t="str">
        <x:f>IF(Q39="","",IFERROR((5-MATCH(Q39,LOOKUPS!$B$2:$B$6,0))*25,"INVALID"))</x:f>
      </x:c>
      <x:c r="BI39" t="str">
        <x:f>IF(W39="","",IFERROR((5-MATCH(W39,LOOKUPS!$C$2:$C$6,0))*25,"INVALID"))</x:f>
      </x:c>
      <x:c r="BJ39" t="str">
        <x:f>IF(AB39="","",IFERROR((5-MATCH(AB39,LOOKUPS!$D$2:$D$6,0))*25,"INVALID"))</x:f>
      </x:c>
      <x:c r="BK39" t="str">
        <x:f>IF(AF39="","",IFERROR((5-MATCH(AF39,LOOKUPS!$E$2:$E$6,0))*25,"INVALID"))</x:f>
      </x:c>
      <x:c r="BL39" t="str">
        <x:f>IF(AK39="","",IFERROR((5-MATCH(AK39,LOOKUPS!$F$2:$F$6,0))*25,"INVALID"))</x:f>
      </x:c>
      <x:c r="BM39" t="str">
        <x:f>IF(AO39="","",IFERROR((5-MATCH(AO39,LOOKUPS!$G$2:$G$6,0))*25,"INVALID"))</x:f>
      </x:c>
      <x:c r="BN39" t="str">
        <x:f>IF(AV39="","",IF(AV39="We have a full water system in-house (not dependent on any provider)","N/A",IFERROR((5-MATCH(AV39,LOOKUPS!$H$2:$H$7,0))*25,"INVALID")))</x:f>
      </x:c>
      <x:c r="BO39" t="str">
        <x:f>IF(COUNTIF(BG39:BN39,"INVALID")&gt;0,"",IF(COUNT(BG39:BN39)=0,"",ROUND(AVERAGE(BG39:BN39),6)))</x:f>
      </x:c>
      <x:c r="BP39" t="str">
        <x:f>IF(COUNTIF(BG39:BN39,"INVALID")&gt;0,"INVALID",IF(COUNT(BG39:BN39)=0,"NOT ENTERED",IF(COUNT(BG39:BN39)&lt;7,"LOW COVERAGE","VALID")))</x:f>
        <x:v>NOT ENTERED</x:v>
      </x:c>
      <x:c r="BQ39" t="str">
        <x:f>IF(COUNTA(C39:H39)=0,"NOT ENTERED",IF(OR(COUNT(C39:H39)&lt;&gt;6,MIN(C39:H39)&lt;0,MAX(C39:H39)&gt;100),"INVALID",IF(ABS(SUM(C39:H39)-100)&lt;0.000001,"VALID","CHECK SHARES")))</x:f>
        <x:v>NOT ENTERED</x:v>
      </x:c>
    </x:row>
    <x:row r="40">
      <x:c r="BG40" t="str">
        <x:f>IF(J40="","",IFERROR((5-MATCH(J40,LOOKUPS!$A$2:$A$6,0))*25,"INVALID"))</x:f>
      </x:c>
      <x:c r="BH40" t="str">
        <x:f>IF(Q40="","",IFERROR((5-MATCH(Q40,LOOKUPS!$B$2:$B$6,0))*25,"INVALID"))</x:f>
      </x:c>
      <x:c r="BI40" t="str">
        <x:f>IF(W40="","",IFERROR((5-MATCH(W40,LOOKUPS!$C$2:$C$6,0))*25,"INVALID"))</x:f>
      </x:c>
      <x:c r="BJ40" t="str">
        <x:f>IF(AB40="","",IFERROR((5-MATCH(AB40,LOOKUPS!$D$2:$D$6,0))*25,"INVALID"))</x:f>
      </x:c>
      <x:c r="BK40" t="str">
        <x:f>IF(AF40="","",IFERROR((5-MATCH(AF40,LOOKUPS!$E$2:$E$6,0))*25,"INVALID"))</x:f>
      </x:c>
      <x:c r="BL40" t="str">
        <x:f>IF(AK40="","",IFERROR((5-MATCH(AK40,LOOKUPS!$F$2:$F$6,0))*25,"INVALID"))</x:f>
      </x:c>
      <x:c r="BM40" t="str">
        <x:f>IF(AO40="","",IFERROR((5-MATCH(AO40,LOOKUPS!$G$2:$G$6,0))*25,"INVALID"))</x:f>
      </x:c>
      <x:c r="BN40" t="str">
        <x:f>IF(AV40="","",IF(AV40="We have a full water system in-house (not dependent on any provider)","N/A",IFERROR((5-MATCH(AV40,LOOKUPS!$H$2:$H$7,0))*25,"INVALID")))</x:f>
      </x:c>
      <x:c r="BO40" t="str">
        <x:f>IF(COUNTIF(BG40:BN40,"INVALID")&gt;0,"",IF(COUNT(BG40:BN40)=0,"",ROUND(AVERAGE(BG40:BN40),6)))</x:f>
      </x:c>
      <x:c r="BP40" t="str">
        <x:f>IF(COUNTIF(BG40:BN40,"INVALID")&gt;0,"INVALID",IF(COUNT(BG40:BN40)=0,"NOT ENTERED",IF(COUNT(BG40:BN40)&lt;7,"LOW COVERAGE","VALID")))</x:f>
        <x:v>NOT ENTERED</x:v>
      </x:c>
      <x:c r="BQ40" t="str">
        <x:f>IF(COUNTA(C40:H40)=0,"NOT ENTERED",IF(OR(COUNT(C40:H40)&lt;&gt;6,MIN(C40:H40)&lt;0,MAX(C40:H40)&gt;100),"INVALID",IF(ABS(SUM(C40:H40)-100)&lt;0.000001,"VALID","CHECK SHARES")))</x:f>
        <x:v>NOT ENTERED</x:v>
      </x:c>
    </x:row>
    <x:row r="41">
      <x:c r="BG41" t="str">
        <x:f>IF(J41="","",IFERROR((5-MATCH(J41,LOOKUPS!$A$2:$A$6,0))*25,"INVALID"))</x:f>
      </x:c>
      <x:c r="BH41" t="str">
        <x:f>IF(Q41="","",IFERROR((5-MATCH(Q41,LOOKUPS!$B$2:$B$6,0))*25,"INVALID"))</x:f>
      </x:c>
      <x:c r="BI41" t="str">
        <x:f>IF(W41="","",IFERROR((5-MATCH(W41,LOOKUPS!$C$2:$C$6,0))*25,"INVALID"))</x:f>
      </x:c>
      <x:c r="BJ41" t="str">
        <x:f>IF(AB41="","",IFERROR((5-MATCH(AB41,LOOKUPS!$D$2:$D$6,0))*25,"INVALID"))</x:f>
      </x:c>
      <x:c r="BK41" t="str">
        <x:f>IF(AF41="","",IFERROR((5-MATCH(AF41,LOOKUPS!$E$2:$E$6,0))*25,"INVALID"))</x:f>
      </x:c>
      <x:c r="BL41" t="str">
        <x:f>IF(AK41="","",IFERROR((5-MATCH(AK41,LOOKUPS!$F$2:$F$6,0))*25,"INVALID"))</x:f>
      </x:c>
      <x:c r="BM41" t="str">
        <x:f>IF(AO41="","",IFERROR((5-MATCH(AO41,LOOKUPS!$G$2:$G$6,0))*25,"INVALID"))</x:f>
      </x:c>
      <x:c r="BN41" t="str">
        <x:f>IF(AV41="","",IF(AV41="We have a full water system in-house (not dependent on any provider)","N/A",IFERROR((5-MATCH(AV41,LOOKUPS!$H$2:$H$7,0))*25,"INVALID")))</x:f>
      </x:c>
      <x:c r="BO41" t="str">
        <x:f>IF(COUNTIF(BG41:BN41,"INVALID")&gt;0,"",IF(COUNT(BG41:BN41)=0,"",ROUND(AVERAGE(BG41:BN41),6)))</x:f>
      </x:c>
      <x:c r="BP41" t="str">
        <x:f>IF(COUNTIF(BG41:BN41,"INVALID")&gt;0,"INVALID",IF(COUNT(BG41:BN41)=0,"NOT ENTERED",IF(COUNT(BG41:BN41)&lt;7,"LOW COVERAGE","VALID")))</x:f>
        <x:v>NOT ENTERED</x:v>
      </x:c>
      <x:c r="BQ41" t="str">
        <x:f>IF(COUNTA(C41:H41)=0,"NOT ENTERED",IF(OR(COUNT(C41:H41)&lt;&gt;6,MIN(C41:H41)&lt;0,MAX(C41:H41)&gt;100),"INVALID",IF(ABS(SUM(C41:H41)-100)&lt;0.000001,"VALID","CHECK SHARES")))</x:f>
        <x:v>NOT ENTERED</x:v>
      </x:c>
    </x:row>
    <x:row r="42">
      <x:c r="BG42" t="str">
        <x:f>IF(J42="","",IFERROR((5-MATCH(J42,LOOKUPS!$A$2:$A$6,0))*25,"INVALID"))</x:f>
      </x:c>
      <x:c r="BH42" t="str">
        <x:f>IF(Q42="","",IFERROR((5-MATCH(Q42,LOOKUPS!$B$2:$B$6,0))*25,"INVALID"))</x:f>
      </x:c>
      <x:c r="BI42" t="str">
        <x:f>IF(W42="","",IFERROR((5-MATCH(W42,LOOKUPS!$C$2:$C$6,0))*25,"INVALID"))</x:f>
      </x:c>
      <x:c r="BJ42" t="str">
        <x:f>IF(AB42="","",IFERROR((5-MATCH(AB42,LOOKUPS!$D$2:$D$6,0))*25,"INVALID"))</x:f>
      </x:c>
      <x:c r="BK42" t="str">
        <x:f>IF(AF42="","",IFERROR((5-MATCH(AF42,LOOKUPS!$E$2:$E$6,0))*25,"INVALID"))</x:f>
      </x:c>
      <x:c r="BL42" t="str">
        <x:f>IF(AK42="","",IFERROR((5-MATCH(AK42,LOOKUPS!$F$2:$F$6,0))*25,"INVALID"))</x:f>
      </x:c>
      <x:c r="BM42" t="str">
        <x:f>IF(AO42="","",IFERROR((5-MATCH(AO42,LOOKUPS!$G$2:$G$6,0))*25,"INVALID"))</x:f>
      </x:c>
      <x:c r="BN42" t="str">
        <x:f>IF(AV42="","",IF(AV42="We have a full water system in-house (not dependent on any provider)","N/A",IFERROR((5-MATCH(AV42,LOOKUPS!$H$2:$H$7,0))*25,"INVALID")))</x:f>
      </x:c>
      <x:c r="BO42" t="str">
        <x:f>IF(COUNTIF(BG42:BN42,"INVALID")&gt;0,"",IF(COUNT(BG42:BN42)=0,"",ROUND(AVERAGE(BG42:BN42),6)))</x:f>
      </x:c>
      <x:c r="BP42" t="str">
        <x:f>IF(COUNTIF(BG42:BN42,"INVALID")&gt;0,"INVALID",IF(COUNT(BG42:BN42)=0,"NOT ENTERED",IF(COUNT(BG42:BN42)&lt;7,"LOW COVERAGE","VALID")))</x:f>
        <x:v>NOT ENTERED</x:v>
      </x:c>
      <x:c r="BQ42" t="str">
        <x:f>IF(COUNTA(C42:H42)=0,"NOT ENTERED",IF(OR(COUNT(C42:H42)&lt;&gt;6,MIN(C42:H42)&lt;0,MAX(C42:H42)&gt;100),"INVALID",IF(ABS(SUM(C42:H42)-100)&lt;0.000001,"VALID","CHECK SHARES")))</x:f>
        <x:v>NOT ENTERED</x:v>
      </x:c>
    </x:row>
    <x:row r="43">
      <x:c r="BG43" t="str">
        <x:f>IF(J43="","",IFERROR((5-MATCH(J43,LOOKUPS!$A$2:$A$6,0))*25,"INVALID"))</x:f>
      </x:c>
      <x:c r="BH43" t="str">
        <x:f>IF(Q43="","",IFERROR((5-MATCH(Q43,LOOKUPS!$B$2:$B$6,0))*25,"INVALID"))</x:f>
      </x:c>
      <x:c r="BI43" t="str">
        <x:f>IF(W43="","",IFERROR((5-MATCH(W43,LOOKUPS!$C$2:$C$6,0))*25,"INVALID"))</x:f>
      </x:c>
      <x:c r="BJ43" t="str">
        <x:f>IF(AB43="","",IFERROR((5-MATCH(AB43,LOOKUPS!$D$2:$D$6,0))*25,"INVALID"))</x:f>
      </x:c>
      <x:c r="BK43" t="str">
        <x:f>IF(AF43="","",IFERROR((5-MATCH(AF43,LOOKUPS!$E$2:$E$6,0))*25,"INVALID"))</x:f>
      </x:c>
      <x:c r="BL43" t="str">
        <x:f>IF(AK43="","",IFERROR((5-MATCH(AK43,LOOKUPS!$F$2:$F$6,0))*25,"INVALID"))</x:f>
      </x:c>
      <x:c r="BM43" t="str">
        <x:f>IF(AO43="","",IFERROR((5-MATCH(AO43,LOOKUPS!$G$2:$G$6,0))*25,"INVALID"))</x:f>
      </x:c>
      <x:c r="BN43" t="str">
        <x:f>IF(AV43="","",IF(AV43="We have a full water system in-house (not dependent on any provider)","N/A",IFERROR((5-MATCH(AV43,LOOKUPS!$H$2:$H$7,0))*25,"INVALID")))</x:f>
      </x:c>
      <x:c r="BO43" t="str">
        <x:f>IF(COUNTIF(BG43:BN43,"INVALID")&gt;0,"",IF(COUNT(BG43:BN43)=0,"",ROUND(AVERAGE(BG43:BN43),6)))</x:f>
      </x:c>
      <x:c r="BP43" t="str">
        <x:f>IF(COUNTIF(BG43:BN43,"INVALID")&gt;0,"INVALID",IF(COUNT(BG43:BN43)=0,"NOT ENTERED",IF(COUNT(BG43:BN43)&lt;7,"LOW COVERAGE","VALID")))</x:f>
        <x:v>NOT ENTERED</x:v>
      </x:c>
      <x:c r="BQ43" t="str">
        <x:f>IF(COUNTA(C43:H43)=0,"NOT ENTERED",IF(OR(COUNT(C43:H43)&lt;&gt;6,MIN(C43:H43)&lt;0,MAX(C43:H43)&gt;100),"INVALID",IF(ABS(SUM(C43:H43)-100)&lt;0.000001,"VALID","CHECK SHARES")))</x:f>
        <x:v>NOT ENTERED</x:v>
      </x:c>
    </x:row>
    <x:row r="44">
      <x:c r="BG44" t="str">
        <x:f>IF(J44="","",IFERROR((5-MATCH(J44,LOOKUPS!$A$2:$A$6,0))*25,"INVALID"))</x:f>
      </x:c>
      <x:c r="BH44" t="str">
        <x:f>IF(Q44="","",IFERROR((5-MATCH(Q44,LOOKUPS!$B$2:$B$6,0))*25,"INVALID"))</x:f>
      </x:c>
      <x:c r="BI44" t="str">
        <x:f>IF(W44="","",IFERROR((5-MATCH(W44,LOOKUPS!$C$2:$C$6,0))*25,"INVALID"))</x:f>
      </x:c>
      <x:c r="BJ44" t="str">
        <x:f>IF(AB44="","",IFERROR((5-MATCH(AB44,LOOKUPS!$D$2:$D$6,0))*25,"INVALID"))</x:f>
      </x:c>
      <x:c r="BK44" t="str">
        <x:f>IF(AF44="","",IFERROR((5-MATCH(AF44,LOOKUPS!$E$2:$E$6,0))*25,"INVALID"))</x:f>
      </x:c>
      <x:c r="BL44" t="str">
        <x:f>IF(AK44="","",IFERROR((5-MATCH(AK44,LOOKUPS!$F$2:$F$6,0))*25,"INVALID"))</x:f>
      </x:c>
      <x:c r="BM44" t="str">
        <x:f>IF(AO44="","",IFERROR((5-MATCH(AO44,LOOKUPS!$G$2:$G$6,0))*25,"INVALID"))</x:f>
      </x:c>
      <x:c r="BN44" t="str">
        <x:f>IF(AV44="","",IF(AV44="We have a full water system in-house (not dependent on any provider)","N/A",IFERROR((5-MATCH(AV44,LOOKUPS!$H$2:$H$7,0))*25,"INVALID")))</x:f>
      </x:c>
      <x:c r="BO44" t="str">
        <x:f>IF(COUNTIF(BG44:BN44,"INVALID")&gt;0,"",IF(COUNT(BG44:BN44)=0,"",ROUND(AVERAGE(BG44:BN44),6)))</x:f>
      </x:c>
      <x:c r="BP44" t="str">
        <x:f>IF(COUNTIF(BG44:BN44,"INVALID")&gt;0,"INVALID",IF(COUNT(BG44:BN44)=0,"NOT ENTERED",IF(COUNT(BG44:BN44)&lt;7,"LOW COVERAGE","VALID")))</x:f>
        <x:v>NOT ENTERED</x:v>
      </x:c>
      <x:c r="BQ44" t="str">
        <x:f>IF(COUNTA(C44:H44)=0,"NOT ENTERED",IF(OR(COUNT(C44:H44)&lt;&gt;6,MIN(C44:H44)&lt;0,MAX(C44:H44)&gt;100),"INVALID",IF(ABS(SUM(C44:H44)-100)&lt;0.000001,"VALID","CHECK SHARES")))</x:f>
        <x:v>NOT ENTERED</x:v>
      </x:c>
    </x:row>
    <x:row r="45">
      <x:c r="BG45" t="str">
        <x:f>IF(J45="","",IFERROR((5-MATCH(J45,LOOKUPS!$A$2:$A$6,0))*25,"INVALID"))</x:f>
      </x:c>
      <x:c r="BH45" t="str">
        <x:f>IF(Q45="","",IFERROR((5-MATCH(Q45,LOOKUPS!$B$2:$B$6,0))*25,"INVALID"))</x:f>
      </x:c>
      <x:c r="BI45" t="str">
        <x:f>IF(W45="","",IFERROR((5-MATCH(W45,LOOKUPS!$C$2:$C$6,0))*25,"INVALID"))</x:f>
      </x:c>
      <x:c r="BJ45" t="str">
        <x:f>IF(AB45="","",IFERROR((5-MATCH(AB45,LOOKUPS!$D$2:$D$6,0))*25,"INVALID"))</x:f>
      </x:c>
      <x:c r="BK45" t="str">
        <x:f>IF(AF45="","",IFERROR((5-MATCH(AF45,LOOKUPS!$E$2:$E$6,0))*25,"INVALID"))</x:f>
      </x:c>
      <x:c r="BL45" t="str">
        <x:f>IF(AK45="","",IFERROR((5-MATCH(AK45,LOOKUPS!$F$2:$F$6,0))*25,"INVALID"))</x:f>
      </x:c>
      <x:c r="BM45" t="str">
        <x:f>IF(AO45="","",IFERROR((5-MATCH(AO45,LOOKUPS!$G$2:$G$6,0))*25,"INVALID"))</x:f>
      </x:c>
      <x:c r="BN45" t="str">
        <x:f>IF(AV45="","",IF(AV45="We have a full water system in-house (not dependent on any provider)","N/A",IFERROR((5-MATCH(AV45,LOOKUPS!$H$2:$H$7,0))*25,"INVALID")))</x:f>
      </x:c>
      <x:c r="BO45" t="str">
        <x:f>IF(COUNTIF(BG45:BN45,"INVALID")&gt;0,"",IF(COUNT(BG45:BN45)=0,"",ROUND(AVERAGE(BG45:BN45),6)))</x:f>
      </x:c>
      <x:c r="BP45" t="str">
        <x:f>IF(COUNTIF(BG45:BN45,"INVALID")&gt;0,"INVALID",IF(COUNT(BG45:BN45)=0,"NOT ENTERED",IF(COUNT(BG45:BN45)&lt;7,"LOW COVERAGE","VALID")))</x:f>
        <x:v>NOT ENTERED</x:v>
      </x:c>
      <x:c r="BQ45" t="str">
        <x:f>IF(COUNTA(C45:H45)=0,"NOT ENTERED",IF(OR(COUNT(C45:H45)&lt;&gt;6,MIN(C45:H45)&lt;0,MAX(C45:H45)&gt;100),"INVALID",IF(ABS(SUM(C45:H45)-100)&lt;0.000001,"VALID","CHECK SHARES")))</x:f>
        <x:v>NOT ENTERED</x:v>
      </x:c>
    </x:row>
    <x:row r="46">
      <x:c r="BG46" t="str">
        <x:f>IF(J46="","",IFERROR((5-MATCH(J46,LOOKUPS!$A$2:$A$6,0))*25,"INVALID"))</x:f>
      </x:c>
      <x:c r="BH46" t="str">
        <x:f>IF(Q46="","",IFERROR((5-MATCH(Q46,LOOKUPS!$B$2:$B$6,0))*25,"INVALID"))</x:f>
      </x:c>
      <x:c r="BI46" t="str">
        <x:f>IF(W46="","",IFERROR((5-MATCH(W46,LOOKUPS!$C$2:$C$6,0))*25,"INVALID"))</x:f>
      </x:c>
      <x:c r="BJ46" t="str">
        <x:f>IF(AB46="","",IFERROR((5-MATCH(AB46,LOOKUPS!$D$2:$D$6,0))*25,"INVALID"))</x:f>
      </x:c>
      <x:c r="BK46" t="str">
        <x:f>IF(AF46="","",IFERROR((5-MATCH(AF46,LOOKUPS!$E$2:$E$6,0))*25,"INVALID"))</x:f>
      </x:c>
      <x:c r="BL46" t="str">
        <x:f>IF(AK46="","",IFERROR((5-MATCH(AK46,LOOKUPS!$F$2:$F$6,0))*25,"INVALID"))</x:f>
      </x:c>
      <x:c r="BM46" t="str">
        <x:f>IF(AO46="","",IFERROR((5-MATCH(AO46,LOOKUPS!$G$2:$G$6,0))*25,"INVALID"))</x:f>
      </x:c>
      <x:c r="BN46" t="str">
        <x:f>IF(AV46="","",IF(AV46="We have a full water system in-house (not dependent on any provider)","N/A",IFERROR((5-MATCH(AV46,LOOKUPS!$H$2:$H$7,0))*25,"INVALID")))</x:f>
      </x:c>
      <x:c r="BO46" t="str">
        <x:f>IF(COUNTIF(BG46:BN46,"INVALID")&gt;0,"",IF(COUNT(BG46:BN46)=0,"",ROUND(AVERAGE(BG46:BN46),6)))</x:f>
      </x:c>
      <x:c r="BP46" t="str">
        <x:f>IF(COUNTIF(BG46:BN46,"INVALID")&gt;0,"INVALID",IF(COUNT(BG46:BN46)=0,"NOT ENTERED",IF(COUNT(BG46:BN46)&lt;7,"LOW COVERAGE","VALID")))</x:f>
        <x:v>NOT ENTERED</x:v>
      </x:c>
      <x:c r="BQ46" t="str">
        <x:f>IF(COUNTA(C46:H46)=0,"NOT ENTERED",IF(OR(COUNT(C46:H46)&lt;&gt;6,MIN(C46:H46)&lt;0,MAX(C46:H46)&gt;100),"INVALID",IF(ABS(SUM(C46:H46)-100)&lt;0.000001,"VALID","CHECK SHARES")))</x:f>
        <x:v>NOT ENTERED</x:v>
      </x:c>
    </x:row>
    <x:row r="47">
      <x:c r="BG47" t="str">
        <x:f>IF(J47="","",IFERROR((5-MATCH(J47,LOOKUPS!$A$2:$A$6,0))*25,"INVALID"))</x:f>
      </x:c>
      <x:c r="BH47" t="str">
        <x:f>IF(Q47="","",IFERROR((5-MATCH(Q47,LOOKUPS!$B$2:$B$6,0))*25,"INVALID"))</x:f>
      </x:c>
      <x:c r="BI47" t="str">
        <x:f>IF(W47="","",IFERROR((5-MATCH(W47,LOOKUPS!$C$2:$C$6,0))*25,"INVALID"))</x:f>
      </x:c>
      <x:c r="BJ47" t="str">
        <x:f>IF(AB47="","",IFERROR((5-MATCH(AB47,LOOKUPS!$D$2:$D$6,0))*25,"INVALID"))</x:f>
      </x:c>
      <x:c r="BK47" t="str">
        <x:f>IF(AF47="","",IFERROR((5-MATCH(AF47,LOOKUPS!$E$2:$E$6,0))*25,"INVALID"))</x:f>
      </x:c>
      <x:c r="BL47" t="str">
        <x:f>IF(AK47="","",IFERROR((5-MATCH(AK47,LOOKUPS!$F$2:$F$6,0))*25,"INVALID"))</x:f>
      </x:c>
      <x:c r="BM47" t="str">
        <x:f>IF(AO47="","",IFERROR((5-MATCH(AO47,LOOKUPS!$G$2:$G$6,0))*25,"INVALID"))</x:f>
      </x:c>
      <x:c r="BN47" t="str">
        <x:f>IF(AV47="","",IF(AV47="We have a full water system in-house (not dependent on any provider)","N/A",IFERROR((5-MATCH(AV47,LOOKUPS!$H$2:$H$7,0))*25,"INVALID")))</x:f>
      </x:c>
      <x:c r="BO47" t="str">
        <x:f>IF(COUNTIF(BG47:BN47,"INVALID")&gt;0,"",IF(COUNT(BG47:BN47)=0,"",ROUND(AVERAGE(BG47:BN47),6)))</x:f>
      </x:c>
      <x:c r="BP47" t="str">
        <x:f>IF(COUNTIF(BG47:BN47,"INVALID")&gt;0,"INVALID",IF(COUNT(BG47:BN47)=0,"NOT ENTERED",IF(COUNT(BG47:BN47)&lt;7,"LOW COVERAGE","VALID")))</x:f>
        <x:v>NOT ENTERED</x:v>
      </x:c>
      <x:c r="BQ47" t="str">
        <x:f>IF(COUNTA(C47:H47)=0,"NOT ENTERED",IF(OR(COUNT(C47:H47)&lt;&gt;6,MIN(C47:H47)&lt;0,MAX(C47:H47)&gt;100),"INVALID",IF(ABS(SUM(C47:H47)-100)&lt;0.000001,"VALID","CHECK SHARES")))</x:f>
        <x:v>NOT ENTERED</x:v>
      </x:c>
    </x:row>
    <x:row r="48">
      <x:c r="BG48" t="str">
        <x:f>IF(J48="","",IFERROR((5-MATCH(J48,LOOKUPS!$A$2:$A$6,0))*25,"INVALID"))</x:f>
      </x:c>
      <x:c r="BH48" t="str">
        <x:f>IF(Q48="","",IFERROR((5-MATCH(Q48,LOOKUPS!$B$2:$B$6,0))*25,"INVALID"))</x:f>
      </x:c>
      <x:c r="BI48" t="str">
        <x:f>IF(W48="","",IFERROR((5-MATCH(W48,LOOKUPS!$C$2:$C$6,0))*25,"INVALID"))</x:f>
      </x:c>
      <x:c r="BJ48" t="str">
        <x:f>IF(AB48="","",IFERROR((5-MATCH(AB48,LOOKUPS!$D$2:$D$6,0))*25,"INVALID"))</x:f>
      </x:c>
      <x:c r="BK48" t="str">
        <x:f>IF(AF48="","",IFERROR((5-MATCH(AF48,LOOKUPS!$E$2:$E$6,0))*25,"INVALID"))</x:f>
      </x:c>
      <x:c r="BL48" t="str">
        <x:f>IF(AK48="","",IFERROR((5-MATCH(AK48,LOOKUPS!$F$2:$F$6,0))*25,"INVALID"))</x:f>
      </x:c>
      <x:c r="BM48" t="str">
        <x:f>IF(AO48="","",IFERROR((5-MATCH(AO48,LOOKUPS!$G$2:$G$6,0))*25,"INVALID"))</x:f>
      </x:c>
      <x:c r="BN48" t="str">
        <x:f>IF(AV48="","",IF(AV48="We have a full water system in-house (not dependent on any provider)","N/A",IFERROR((5-MATCH(AV48,LOOKUPS!$H$2:$H$7,0))*25,"INVALID")))</x:f>
      </x:c>
      <x:c r="BO48" t="str">
        <x:f>IF(COUNTIF(BG48:BN48,"INVALID")&gt;0,"",IF(COUNT(BG48:BN48)=0,"",ROUND(AVERAGE(BG48:BN48),6)))</x:f>
      </x:c>
      <x:c r="BP48" t="str">
        <x:f>IF(COUNTIF(BG48:BN48,"INVALID")&gt;0,"INVALID",IF(COUNT(BG48:BN48)=0,"NOT ENTERED",IF(COUNT(BG48:BN48)&lt;7,"LOW COVERAGE","VALID")))</x:f>
        <x:v>NOT ENTERED</x:v>
      </x:c>
      <x:c r="BQ48" t="str">
        <x:f>IF(COUNTA(C48:H48)=0,"NOT ENTERED",IF(OR(COUNT(C48:H48)&lt;&gt;6,MIN(C48:H48)&lt;0,MAX(C48:H48)&gt;100),"INVALID",IF(ABS(SUM(C48:H48)-100)&lt;0.000001,"VALID","CHECK SHARES")))</x:f>
        <x:v>NOT ENTERED</x:v>
      </x:c>
    </x:row>
    <x:row r="49">
      <x:c r="BG49" t="str">
        <x:f>IF(J49="","",IFERROR((5-MATCH(J49,LOOKUPS!$A$2:$A$6,0))*25,"INVALID"))</x:f>
      </x:c>
      <x:c r="BH49" t="str">
        <x:f>IF(Q49="","",IFERROR((5-MATCH(Q49,LOOKUPS!$B$2:$B$6,0))*25,"INVALID"))</x:f>
      </x:c>
      <x:c r="BI49" t="str">
        <x:f>IF(W49="","",IFERROR((5-MATCH(W49,LOOKUPS!$C$2:$C$6,0))*25,"INVALID"))</x:f>
      </x:c>
      <x:c r="BJ49" t="str">
        <x:f>IF(AB49="","",IFERROR((5-MATCH(AB49,LOOKUPS!$D$2:$D$6,0))*25,"INVALID"))</x:f>
      </x:c>
      <x:c r="BK49" t="str">
        <x:f>IF(AF49="","",IFERROR((5-MATCH(AF49,LOOKUPS!$E$2:$E$6,0))*25,"INVALID"))</x:f>
      </x:c>
      <x:c r="BL49" t="str">
        <x:f>IF(AK49="","",IFERROR((5-MATCH(AK49,LOOKUPS!$F$2:$F$6,0))*25,"INVALID"))</x:f>
      </x:c>
      <x:c r="BM49" t="str">
        <x:f>IF(AO49="","",IFERROR((5-MATCH(AO49,LOOKUPS!$G$2:$G$6,0))*25,"INVALID"))</x:f>
      </x:c>
      <x:c r="BN49" t="str">
        <x:f>IF(AV49="","",IF(AV49="We have a full water system in-house (not dependent on any provider)","N/A",IFERROR((5-MATCH(AV49,LOOKUPS!$H$2:$H$7,0))*25,"INVALID")))</x:f>
      </x:c>
      <x:c r="BO49" t="str">
        <x:f>IF(COUNTIF(BG49:BN49,"INVALID")&gt;0,"",IF(COUNT(BG49:BN49)=0,"",ROUND(AVERAGE(BG49:BN49),6)))</x:f>
      </x:c>
      <x:c r="BP49" t="str">
        <x:f>IF(COUNTIF(BG49:BN49,"INVALID")&gt;0,"INVALID",IF(COUNT(BG49:BN49)=0,"NOT ENTERED",IF(COUNT(BG49:BN49)&lt;7,"LOW COVERAGE","VALID")))</x:f>
        <x:v>NOT ENTERED</x:v>
      </x:c>
      <x:c r="BQ49" t="str">
        <x:f>IF(COUNTA(C49:H49)=0,"NOT ENTERED",IF(OR(COUNT(C49:H49)&lt;&gt;6,MIN(C49:H49)&lt;0,MAX(C49:H49)&gt;100),"INVALID",IF(ABS(SUM(C49:H49)-100)&lt;0.000001,"VALID","CHECK SHARES")))</x:f>
        <x:v>NOT ENTERED</x:v>
      </x:c>
    </x:row>
    <x:row r="50">
      <x:c r="BG50" t="str">
        <x:f>IF(J50="","",IFERROR((5-MATCH(J50,LOOKUPS!$A$2:$A$6,0))*25,"INVALID"))</x:f>
      </x:c>
      <x:c r="BH50" t="str">
        <x:f>IF(Q50="","",IFERROR((5-MATCH(Q50,LOOKUPS!$B$2:$B$6,0))*25,"INVALID"))</x:f>
      </x:c>
      <x:c r="BI50" t="str">
        <x:f>IF(W50="","",IFERROR((5-MATCH(W50,LOOKUPS!$C$2:$C$6,0))*25,"INVALID"))</x:f>
      </x:c>
      <x:c r="BJ50" t="str">
        <x:f>IF(AB50="","",IFERROR((5-MATCH(AB50,LOOKUPS!$D$2:$D$6,0))*25,"INVALID"))</x:f>
      </x:c>
      <x:c r="BK50" t="str">
        <x:f>IF(AF50="","",IFERROR((5-MATCH(AF50,LOOKUPS!$E$2:$E$6,0))*25,"INVALID"))</x:f>
      </x:c>
      <x:c r="BL50" t="str">
        <x:f>IF(AK50="","",IFERROR((5-MATCH(AK50,LOOKUPS!$F$2:$F$6,0))*25,"INVALID"))</x:f>
      </x:c>
      <x:c r="BM50" t="str">
        <x:f>IF(AO50="","",IFERROR((5-MATCH(AO50,LOOKUPS!$G$2:$G$6,0))*25,"INVALID"))</x:f>
      </x:c>
      <x:c r="BN50" t="str">
        <x:f>IF(AV50="","",IF(AV50="We have a full water system in-house (not dependent on any provider)","N/A",IFERROR((5-MATCH(AV50,LOOKUPS!$H$2:$H$7,0))*25,"INVALID")))</x:f>
      </x:c>
      <x:c r="BO50" t="str">
        <x:f>IF(COUNTIF(BG50:BN50,"INVALID")&gt;0,"",IF(COUNT(BG50:BN50)=0,"",ROUND(AVERAGE(BG50:BN50),6)))</x:f>
      </x:c>
      <x:c r="BP50" t="str">
        <x:f>IF(COUNTIF(BG50:BN50,"INVALID")&gt;0,"INVALID",IF(COUNT(BG50:BN50)=0,"NOT ENTERED",IF(COUNT(BG50:BN50)&lt;7,"LOW COVERAGE","VALID")))</x:f>
        <x:v>NOT ENTERED</x:v>
      </x:c>
      <x:c r="BQ50" t="str">
        <x:f>IF(COUNTA(C50:H50)=0,"NOT ENTERED",IF(OR(COUNT(C50:H50)&lt;&gt;6,MIN(C50:H50)&lt;0,MAX(C50:H50)&gt;100),"INVALID",IF(ABS(SUM(C50:H50)-100)&lt;0.000001,"VALID","CHECK SHARES")))</x:f>
        <x:v>NOT ENTERED</x:v>
      </x:c>
    </x:row>
    <x:row r="51">
      <x:c r="BG51" t="str">
        <x:f>IF(J51="","",IFERROR((5-MATCH(J51,LOOKUPS!$A$2:$A$6,0))*25,"INVALID"))</x:f>
      </x:c>
      <x:c r="BH51" t="str">
        <x:f>IF(Q51="","",IFERROR((5-MATCH(Q51,LOOKUPS!$B$2:$B$6,0))*25,"INVALID"))</x:f>
      </x:c>
      <x:c r="BI51" t="str">
        <x:f>IF(W51="","",IFERROR((5-MATCH(W51,LOOKUPS!$C$2:$C$6,0))*25,"INVALID"))</x:f>
      </x:c>
      <x:c r="BJ51" t="str">
        <x:f>IF(AB51="","",IFERROR((5-MATCH(AB51,LOOKUPS!$D$2:$D$6,0))*25,"INVALID"))</x:f>
      </x:c>
      <x:c r="BK51" t="str">
        <x:f>IF(AF51="","",IFERROR((5-MATCH(AF51,LOOKUPS!$E$2:$E$6,0))*25,"INVALID"))</x:f>
      </x:c>
      <x:c r="BL51" t="str">
        <x:f>IF(AK51="","",IFERROR((5-MATCH(AK51,LOOKUPS!$F$2:$F$6,0))*25,"INVALID"))</x:f>
      </x:c>
      <x:c r="BM51" t="str">
        <x:f>IF(AO51="","",IFERROR((5-MATCH(AO51,LOOKUPS!$G$2:$G$6,0))*25,"INVALID"))</x:f>
      </x:c>
      <x:c r="BN51" t="str">
        <x:f>IF(AV51="","",IF(AV51="We have a full water system in-house (not dependent on any provider)","N/A",IFERROR((5-MATCH(AV51,LOOKUPS!$H$2:$H$7,0))*25,"INVALID")))</x:f>
      </x:c>
      <x:c r="BO51" t="str">
        <x:f>IF(COUNTIF(BG51:BN51,"INVALID")&gt;0,"",IF(COUNT(BG51:BN51)=0,"",ROUND(AVERAGE(BG51:BN51),6)))</x:f>
      </x:c>
      <x:c r="BP51" t="str">
        <x:f>IF(COUNTIF(BG51:BN51,"INVALID")&gt;0,"INVALID",IF(COUNT(BG51:BN51)=0,"NOT ENTERED",IF(COUNT(BG51:BN51)&lt;7,"LOW COVERAGE","VALID")))</x:f>
        <x:v>NOT ENTERED</x:v>
      </x:c>
      <x:c r="BQ51" t="str">
        <x:f>IF(COUNTA(C51:H51)=0,"NOT ENTERED",IF(OR(COUNT(C51:H51)&lt;&gt;6,MIN(C51:H51)&lt;0,MAX(C51:H51)&gt;100),"INVALID",IF(ABS(SUM(C51:H51)-100)&lt;0.000001,"VALID","CHECK SHARES")))</x:f>
        <x:v>NOT ENTERED</x:v>
      </x:c>
    </x:row>
    <x:row r="52">
      <x:c r="BG52" t="str">
        <x:f>IF(J52="","",IFERROR((5-MATCH(J52,LOOKUPS!$A$2:$A$6,0))*25,"INVALID"))</x:f>
      </x:c>
      <x:c r="BH52" t="str">
        <x:f>IF(Q52="","",IFERROR((5-MATCH(Q52,LOOKUPS!$B$2:$B$6,0))*25,"INVALID"))</x:f>
      </x:c>
      <x:c r="BI52" t="str">
        <x:f>IF(W52="","",IFERROR((5-MATCH(W52,LOOKUPS!$C$2:$C$6,0))*25,"INVALID"))</x:f>
      </x:c>
      <x:c r="BJ52" t="str">
        <x:f>IF(AB52="","",IFERROR((5-MATCH(AB52,LOOKUPS!$D$2:$D$6,0))*25,"INVALID"))</x:f>
      </x:c>
      <x:c r="BK52" t="str">
        <x:f>IF(AF52="","",IFERROR((5-MATCH(AF52,LOOKUPS!$E$2:$E$6,0))*25,"INVALID"))</x:f>
      </x:c>
      <x:c r="BL52" t="str">
        <x:f>IF(AK52="","",IFERROR((5-MATCH(AK52,LOOKUPS!$F$2:$F$6,0))*25,"INVALID"))</x:f>
      </x:c>
      <x:c r="BM52" t="str">
        <x:f>IF(AO52="","",IFERROR((5-MATCH(AO52,LOOKUPS!$G$2:$G$6,0))*25,"INVALID"))</x:f>
      </x:c>
      <x:c r="BN52" t="str">
        <x:f>IF(AV52="","",IF(AV52="We have a full water system in-house (not dependent on any provider)","N/A",IFERROR((5-MATCH(AV52,LOOKUPS!$H$2:$H$7,0))*25,"INVALID")))</x:f>
      </x:c>
      <x:c r="BO52" t="str">
        <x:f>IF(COUNTIF(BG52:BN52,"INVALID")&gt;0,"",IF(COUNT(BG52:BN52)=0,"",ROUND(AVERAGE(BG52:BN52),6)))</x:f>
      </x:c>
      <x:c r="BP52" t="str">
        <x:f>IF(COUNTIF(BG52:BN52,"INVALID")&gt;0,"INVALID",IF(COUNT(BG52:BN52)=0,"NOT ENTERED",IF(COUNT(BG52:BN52)&lt;7,"LOW COVERAGE","VALID")))</x:f>
        <x:v>NOT ENTERED</x:v>
      </x:c>
      <x:c r="BQ52" t="str">
        <x:f>IF(COUNTA(C52:H52)=0,"NOT ENTERED",IF(OR(COUNT(C52:H52)&lt;&gt;6,MIN(C52:H52)&lt;0,MAX(C52:H52)&gt;100),"INVALID",IF(ABS(SUM(C52:H52)-100)&lt;0.000001,"VALID","CHECK SHARES")))</x:f>
        <x:v>NOT ENTERED</x:v>
      </x:c>
    </x:row>
    <x:row r="53">
      <x:c r="BG53" t="str">
        <x:f>IF(J53="","",IFERROR((5-MATCH(J53,LOOKUPS!$A$2:$A$6,0))*25,"INVALID"))</x:f>
      </x:c>
      <x:c r="BH53" t="str">
        <x:f>IF(Q53="","",IFERROR((5-MATCH(Q53,LOOKUPS!$B$2:$B$6,0))*25,"INVALID"))</x:f>
      </x:c>
      <x:c r="BI53" t="str">
        <x:f>IF(W53="","",IFERROR((5-MATCH(W53,LOOKUPS!$C$2:$C$6,0))*25,"INVALID"))</x:f>
      </x:c>
      <x:c r="BJ53" t="str">
        <x:f>IF(AB53="","",IFERROR((5-MATCH(AB53,LOOKUPS!$D$2:$D$6,0))*25,"INVALID"))</x:f>
      </x:c>
      <x:c r="BK53" t="str">
        <x:f>IF(AF53="","",IFERROR((5-MATCH(AF53,LOOKUPS!$E$2:$E$6,0))*25,"INVALID"))</x:f>
      </x:c>
      <x:c r="BL53" t="str">
        <x:f>IF(AK53="","",IFERROR((5-MATCH(AK53,LOOKUPS!$F$2:$F$6,0))*25,"INVALID"))</x:f>
      </x:c>
      <x:c r="BM53" t="str">
        <x:f>IF(AO53="","",IFERROR((5-MATCH(AO53,LOOKUPS!$G$2:$G$6,0))*25,"INVALID"))</x:f>
      </x:c>
      <x:c r="BN53" t="str">
        <x:f>IF(AV53="","",IF(AV53="We have a full water system in-house (not dependent on any provider)","N/A",IFERROR((5-MATCH(AV53,LOOKUPS!$H$2:$H$7,0))*25,"INVALID")))</x:f>
      </x:c>
      <x:c r="BO53" t="str">
        <x:f>IF(COUNTIF(BG53:BN53,"INVALID")&gt;0,"",IF(COUNT(BG53:BN53)=0,"",ROUND(AVERAGE(BG53:BN53),6)))</x:f>
      </x:c>
      <x:c r="BP53" t="str">
        <x:f>IF(COUNTIF(BG53:BN53,"INVALID")&gt;0,"INVALID",IF(COUNT(BG53:BN53)=0,"NOT ENTERED",IF(COUNT(BG53:BN53)&lt;7,"LOW COVERAGE","VALID")))</x:f>
        <x:v>NOT ENTERED</x:v>
      </x:c>
      <x:c r="BQ53" t="str">
        <x:f>IF(COUNTA(C53:H53)=0,"NOT ENTERED",IF(OR(COUNT(C53:H53)&lt;&gt;6,MIN(C53:H53)&lt;0,MAX(C53:H53)&gt;100),"INVALID",IF(ABS(SUM(C53:H53)-100)&lt;0.000001,"VALID","CHECK SHARES")))</x:f>
        <x:v>NOT ENTERED</x:v>
      </x:c>
    </x:row>
    <x:row r="54">
      <x:c r="BG54" t="str">
        <x:f>IF(J54="","",IFERROR((5-MATCH(J54,LOOKUPS!$A$2:$A$6,0))*25,"INVALID"))</x:f>
      </x:c>
      <x:c r="BH54" t="str">
        <x:f>IF(Q54="","",IFERROR((5-MATCH(Q54,LOOKUPS!$B$2:$B$6,0))*25,"INVALID"))</x:f>
      </x:c>
      <x:c r="BI54" t="str">
        <x:f>IF(W54="","",IFERROR((5-MATCH(W54,LOOKUPS!$C$2:$C$6,0))*25,"INVALID"))</x:f>
      </x:c>
      <x:c r="BJ54" t="str">
        <x:f>IF(AB54="","",IFERROR((5-MATCH(AB54,LOOKUPS!$D$2:$D$6,0))*25,"INVALID"))</x:f>
      </x:c>
      <x:c r="BK54" t="str">
        <x:f>IF(AF54="","",IFERROR((5-MATCH(AF54,LOOKUPS!$E$2:$E$6,0))*25,"INVALID"))</x:f>
      </x:c>
      <x:c r="BL54" t="str">
        <x:f>IF(AK54="","",IFERROR((5-MATCH(AK54,LOOKUPS!$F$2:$F$6,0))*25,"INVALID"))</x:f>
      </x:c>
      <x:c r="BM54" t="str">
        <x:f>IF(AO54="","",IFERROR((5-MATCH(AO54,LOOKUPS!$G$2:$G$6,0))*25,"INVALID"))</x:f>
      </x:c>
      <x:c r="BN54" t="str">
        <x:f>IF(AV54="","",IF(AV54="We have a full water system in-house (not dependent on any provider)","N/A",IFERROR((5-MATCH(AV54,LOOKUPS!$H$2:$H$7,0))*25,"INVALID")))</x:f>
      </x:c>
      <x:c r="BO54" t="str">
        <x:f>IF(COUNTIF(BG54:BN54,"INVALID")&gt;0,"",IF(COUNT(BG54:BN54)=0,"",ROUND(AVERAGE(BG54:BN54),6)))</x:f>
      </x:c>
      <x:c r="BP54" t="str">
        <x:f>IF(COUNTIF(BG54:BN54,"INVALID")&gt;0,"INVALID",IF(COUNT(BG54:BN54)=0,"NOT ENTERED",IF(COUNT(BG54:BN54)&lt;7,"LOW COVERAGE","VALID")))</x:f>
        <x:v>NOT ENTERED</x:v>
      </x:c>
      <x:c r="BQ54" t="str">
        <x:f>IF(COUNTA(C54:H54)=0,"NOT ENTERED",IF(OR(COUNT(C54:H54)&lt;&gt;6,MIN(C54:H54)&lt;0,MAX(C54:H54)&gt;100),"INVALID",IF(ABS(SUM(C54:H54)-100)&lt;0.000001,"VALID","CHECK SHARES")))</x:f>
        <x:v>NOT ENTERED</x:v>
      </x:c>
    </x:row>
    <x:row r="55">
      <x:c r="BG55" t="str">
        <x:f>IF(J55="","",IFERROR((5-MATCH(J55,LOOKUPS!$A$2:$A$6,0))*25,"INVALID"))</x:f>
      </x:c>
      <x:c r="BH55" t="str">
        <x:f>IF(Q55="","",IFERROR((5-MATCH(Q55,LOOKUPS!$B$2:$B$6,0))*25,"INVALID"))</x:f>
      </x:c>
      <x:c r="BI55" t="str">
        <x:f>IF(W55="","",IFERROR((5-MATCH(W55,LOOKUPS!$C$2:$C$6,0))*25,"INVALID"))</x:f>
      </x:c>
      <x:c r="BJ55" t="str">
        <x:f>IF(AB55="","",IFERROR((5-MATCH(AB55,LOOKUPS!$D$2:$D$6,0))*25,"INVALID"))</x:f>
      </x:c>
      <x:c r="BK55" t="str">
        <x:f>IF(AF55="","",IFERROR((5-MATCH(AF55,LOOKUPS!$E$2:$E$6,0))*25,"INVALID"))</x:f>
      </x:c>
      <x:c r="BL55" t="str">
        <x:f>IF(AK55="","",IFERROR((5-MATCH(AK55,LOOKUPS!$F$2:$F$6,0))*25,"INVALID"))</x:f>
      </x:c>
      <x:c r="BM55" t="str">
        <x:f>IF(AO55="","",IFERROR((5-MATCH(AO55,LOOKUPS!$G$2:$G$6,0))*25,"INVALID"))</x:f>
      </x:c>
      <x:c r="BN55" t="str">
        <x:f>IF(AV55="","",IF(AV55="We have a full water system in-house (not dependent on any provider)","N/A",IFERROR((5-MATCH(AV55,LOOKUPS!$H$2:$H$7,0))*25,"INVALID")))</x:f>
      </x:c>
      <x:c r="BO55" t="str">
        <x:f>IF(COUNTIF(BG55:BN55,"INVALID")&gt;0,"",IF(COUNT(BG55:BN55)=0,"",ROUND(AVERAGE(BG55:BN55),6)))</x:f>
      </x:c>
      <x:c r="BP55" t="str">
        <x:f>IF(COUNTIF(BG55:BN55,"INVALID")&gt;0,"INVALID",IF(COUNT(BG55:BN55)=0,"NOT ENTERED",IF(COUNT(BG55:BN55)&lt;7,"LOW COVERAGE","VALID")))</x:f>
        <x:v>NOT ENTERED</x:v>
      </x:c>
      <x:c r="BQ55" t="str">
        <x:f>IF(COUNTA(C55:H55)=0,"NOT ENTERED",IF(OR(COUNT(C55:H55)&lt;&gt;6,MIN(C55:H55)&lt;0,MAX(C55:H55)&gt;100),"INVALID",IF(ABS(SUM(C55:H55)-100)&lt;0.000001,"VALID","CHECK SHARES")))</x:f>
        <x:v>NOT ENTERED</x:v>
      </x:c>
    </x:row>
    <x:row r="56">
      <x:c r="BG56" t="str">
        <x:f>IF(J56="","",IFERROR((5-MATCH(J56,LOOKUPS!$A$2:$A$6,0))*25,"INVALID"))</x:f>
      </x:c>
      <x:c r="BH56" t="str">
        <x:f>IF(Q56="","",IFERROR((5-MATCH(Q56,LOOKUPS!$B$2:$B$6,0))*25,"INVALID"))</x:f>
      </x:c>
      <x:c r="BI56" t="str">
        <x:f>IF(W56="","",IFERROR((5-MATCH(W56,LOOKUPS!$C$2:$C$6,0))*25,"INVALID"))</x:f>
      </x:c>
      <x:c r="BJ56" t="str">
        <x:f>IF(AB56="","",IFERROR((5-MATCH(AB56,LOOKUPS!$D$2:$D$6,0))*25,"INVALID"))</x:f>
      </x:c>
      <x:c r="BK56" t="str">
        <x:f>IF(AF56="","",IFERROR((5-MATCH(AF56,LOOKUPS!$E$2:$E$6,0))*25,"INVALID"))</x:f>
      </x:c>
      <x:c r="BL56" t="str">
        <x:f>IF(AK56="","",IFERROR((5-MATCH(AK56,LOOKUPS!$F$2:$F$6,0))*25,"INVALID"))</x:f>
      </x:c>
      <x:c r="BM56" t="str">
        <x:f>IF(AO56="","",IFERROR((5-MATCH(AO56,LOOKUPS!$G$2:$G$6,0))*25,"INVALID"))</x:f>
      </x:c>
      <x:c r="BN56" t="str">
        <x:f>IF(AV56="","",IF(AV56="We have a full water system in-house (not dependent on any provider)","N/A",IFERROR((5-MATCH(AV56,LOOKUPS!$H$2:$H$7,0))*25,"INVALID")))</x:f>
      </x:c>
      <x:c r="BO56" t="str">
        <x:f>IF(COUNTIF(BG56:BN56,"INVALID")&gt;0,"",IF(COUNT(BG56:BN56)=0,"",ROUND(AVERAGE(BG56:BN56),6)))</x:f>
      </x:c>
      <x:c r="BP56" t="str">
        <x:f>IF(COUNTIF(BG56:BN56,"INVALID")&gt;0,"INVALID",IF(COUNT(BG56:BN56)=0,"NOT ENTERED",IF(COUNT(BG56:BN56)&lt;7,"LOW COVERAGE","VALID")))</x:f>
        <x:v>NOT ENTERED</x:v>
      </x:c>
      <x:c r="BQ56" t="str">
        <x:f>IF(COUNTA(C56:H56)=0,"NOT ENTERED",IF(OR(COUNT(C56:H56)&lt;&gt;6,MIN(C56:H56)&lt;0,MAX(C56:H56)&gt;100),"INVALID",IF(ABS(SUM(C56:H56)-100)&lt;0.000001,"VALID","CHECK SHARES")))</x:f>
        <x:v>NOT ENTERED</x:v>
      </x:c>
    </x:row>
    <x:row r="57">
      <x:c r="BG57" t="str">
        <x:f>IF(J57="","",IFERROR((5-MATCH(J57,LOOKUPS!$A$2:$A$6,0))*25,"INVALID"))</x:f>
      </x:c>
      <x:c r="BH57" t="str">
        <x:f>IF(Q57="","",IFERROR((5-MATCH(Q57,LOOKUPS!$B$2:$B$6,0))*25,"INVALID"))</x:f>
      </x:c>
      <x:c r="BI57" t="str">
        <x:f>IF(W57="","",IFERROR((5-MATCH(W57,LOOKUPS!$C$2:$C$6,0))*25,"INVALID"))</x:f>
      </x:c>
      <x:c r="BJ57" t="str">
        <x:f>IF(AB57="","",IFERROR((5-MATCH(AB57,LOOKUPS!$D$2:$D$6,0))*25,"INVALID"))</x:f>
      </x:c>
      <x:c r="BK57" t="str">
        <x:f>IF(AF57="","",IFERROR((5-MATCH(AF57,LOOKUPS!$E$2:$E$6,0))*25,"INVALID"))</x:f>
      </x:c>
      <x:c r="BL57" t="str">
        <x:f>IF(AK57="","",IFERROR((5-MATCH(AK57,LOOKUPS!$F$2:$F$6,0))*25,"INVALID"))</x:f>
      </x:c>
      <x:c r="BM57" t="str">
        <x:f>IF(AO57="","",IFERROR((5-MATCH(AO57,LOOKUPS!$G$2:$G$6,0))*25,"INVALID"))</x:f>
      </x:c>
      <x:c r="BN57" t="str">
        <x:f>IF(AV57="","",IF(AV57="We have a full water system in-house (not dependent on any provider)","N/A",IFERROR((5-MATCH(AV57,LOOKUPS!$H$2:$H$7,0))*25,"INVALID")))</x:f>
      </x:c>
      <x:c r="BO57" t="str">
        <x:f>IF(COUNTIF(BG57:BN57,"INVALID")&gt;0,"",IF(COUNT(BG57:BN57)=0,"",ROUND(AVERAGE(BG57:BN57),6)))</x:f>
      </x:c>
      <x:c r="BP57" t="str">
        <x:f>IF(COUNTIF(BG57:BN57,"INVALID")&gt;0,"INVALID",IF(COUNT(BG57:BN57)=0,"NOT ENTERED",IF(COUNT(BG57:BN57)&lt;7,"LOW COVERAGE","VALID")))</x:f>
        <x:v>NOT ENTERED</x:v>
      </x:c>
      <x:c r="BQ57" t="str">
        <x:f>IF(COUNTA(C57:H57)=0,"NOT ENTERED",IF(OR(COUNT(C57:H57)&lt;&gt;6,MIN(C57:H57)&lt;0,MAX(C57:H57)&gt;100),"INVALID",IF(ABS(SUM(C57:H57)-100)&lt;0.000001,"VALID","CHECK SHARES")))</x:f>
        <x:v>NOT ENTERED</x:v>
      </x:c>
    </x:row>
    <x:row r="58">
      <x:c r="BG58" t="str">
        <x:f>IF(J58="","",IFERROR((5-MATCH(J58,LOOKUPS!$A$2:$A$6,0))*25,"INVALID"))</x:f>
      </x:c>
      <x:c r="BH58" t="str">
        <x:f>IF(Q58="","",IFERROR((5-MATCH(Q58,LOOKUPS!$B$2:$B$6,0))*25,"INVALID"))</x:f>
      </x:c>
      <x:c r="BI58" t="str">
        <x:f>IF(W58="","",IFERROR((5-MATCH(W58,LOOKUPS!$C$2:$C$6,0))*25,"INVALID"))</x:f>
      </x:c>
      <x:c r="BJ58" t="str">
        <x:f>IF(AB58="","",IFERROR((5-MATCH(AB58,LOOKUPS!$D$2:$D$6,0))*25,"INVALID"))</x:f>
      </x:c>
      <x:c r="BK58" t="str">
        <x:f>IF(AF58="","",IFERROR((5-MATCH(AF58,LOOKUPS!$E$2:$E$6,0))*25,"INVALID"))</x:f>
      </x:c>
      <x:c r="BL58" t="str">
        <x:f>IF(AK58="","",IFERROR((5-MATCH(AK58,LOOKUPS!$F$2:$F$6,0))*25,"INVALID"))</x:f>
      </x:c>
      <x:c r="BM58" t="str">
        <x:f>IF(AO58="","",IFERROR((5-MATCH(AO58,LOOKUPS!$G$2:$G$6,0))*25,"INVALID"))</x:f>
      </x:c>
      <x:c r="BN58" t="str">
        <x:f>IF(AV58="","",IF(AV58="We have a full water system in-house (not dependent on any provider)","N/A",IFERROR((5-MATCH(AV58,LOOKUPS!$H$2:$H$7,0))*25,"INVALID")))</x:f>
      </x:c>
      <x:c r="BO58" t="str">
        <x:f>IF(COUNTIF(BG58:BN58,"INVALID")&gt;0,"",IF(COUNT(BG58:BN58)=0,"",ROUND(AVERAGE(BG58:BN58),6)))</x:f>
      </x:c>
      <x:c r="BP58" t="str">
        <x:f>IF(COUNTIF(BG58:BN58,"INVALID")&gt;0,"INVALID",IF(COUNT(BG58:BN58)=0,"NOT ENTERED",IF(COUNT(BG58:BN58)&lt;7,"LOW COVERAGE","VALID")))</x:f>
        <x:v>NOT ENTERED</x:v>
      </x:c>
      <x:c r="BQ58" t="str">
        <x:f>IF(COUNTA(C58:H58)=0,"NOT ENTERED",IF(OR(COUNT(C58:H58)&lt;&gt;6,MIN(C58:H58)&lt;0,MAX(C58:H58)&gt;100),"INVALID",IF(ABS(SUM(C58:H58)-100)&lt;0.000001,"VALID","CHECK SHARES")))</x:f>
        <x:v>NOT ENTERED</x:v>
      </x:c>
    </x:row>
    <x:row r="59">
      <x:c r="BG59" t="str">
        <x:f>IF(J59="","",IFERROR((5-MATCH(J59,LOOKUPS!$A$2:$A$6,0))*25,"INVALID"))</x:f>
      </x:c>
      <x:c r="BH59" t="str">
        <x:f>IF(Q59="","",IFERROR((5-MATCH(Q59,LOOKUPS!$B$2:$B$6,0))*25,"INVALID"))</x:f>
      </x:c>
      <x:c r="BI59" t="str">
        <x:f>IF(W59="","",IFERROR((5-MATCH(W59,LOOKUPS!$C$2:$C$6,0))*25,"INVALID"))</x:f>
      </x:c>
      <x:c r="BJ59" t="str">
        <x:f>IF(AB59="","",IFERROR((5-MATCH(AB59,LOOKUPS!$D$2:$D$6,0))*25,"INVALID"))</x:f>
      </x:c>
      <x:c r="BK59" t="str">
        <x:f>IF(AF59="","",IFERROR((5-MATCH(AF59,LOOKUPS!$E$2:$E$6,0))*25,"INVALID"))</x:f>
      </x:c>
      <x:c r="BL59" t="str">
        <x:f>IF(AK59="","",IFERROR((5-MATCH(AK59,LOOKUPS!$F$2:$F$6,0))*25,"INVALID"))</x:f>
      </x:c>
      <x:c r="BM59" t="str">
        <x:f>IF(AO59="","",IFERROR((5-MATCH(AO59,LOOKUPS!$G$2:$G$6,0))*25,"INVALID"))</x:f>
      </x:c>
      <x:c r="BN59" t="str">
        <x:f>IF(AV59="","",IF(AV59="We have a full water system in-house (not dependent on any provider)","N/A",IFERROR((5-MATCH(AV59,LOOKUPS!$H$2:$H$7,0))*25,"INVALID")))</x:f>
      </x:c>
      <x:c r="BO59" t="str">
        <x:f>IF(COUNTIF(BG59:BN59,"INVALID")&gt;0,"",IF(COUNT(BG59:BN59)=0,"",ROUND(AVERAGE(BG59:BN59),6)))</x:f>
      </x:c>
      <x:c r="BP59" t="str">
        <x:f>IF(COUNTIF(BG59:BN59,"INVALID")&gt;0,"INVALID",IF(COUNT(BG59:BN59)=0,"NOT ENTERED",IF(COUNT(BG59:BN59)&lt;7,"LOW COVERAGE","VALID")))</x:f>
        <x:v>NOT ENTERED</x:v>
      </x:c>
      <x:c r="BQ59" t="str">
        <x:f>IF(COUNTA(C59:H59)=0,"NOT ENTERED",IF(OR(COUNT(C59:H59)&lt;&gt;6,MIN(C59:H59)&lt;0,MAX(C59:H59)&gt;100),"INVALID",IF(ABS(SUM(C59:H59)-100)&lt;0.000001,"VALID","CHECK SHARES")))</x:f>
        <x:v>NOT ENTERED</x:v>
      </x:c>
    </x:row>
    <x:row r="60">
      <x:c r="BG60" t="str">
        <x:f>IF(J60="","",IFERROR((5-MATCH(J60,LOOKUPS!$A$2:$A$6,0))*25,"INVALID"))</x:f>
      </x:c>
      <x:c r="BH60" t="str">
        <x:f>IF(Q60="","",IFERROR((5-MATCH(Q60,LOOKUPS!$B$2:$B$6,0))*25,"INVALID"))</x:f>
      </x:c>
      <x:c r="BI60" t="str">
        <x:f>IF(W60="","",IFERROR((5-MATCH(W60,LOOKUPS!$C$2:$C$6,0))*25,"INVALID"))</x:f>
      </x:c>
      <x:c r="BJ60" t="str">
        <x:f>IF(AB60="","",IFERROR((5-MATCH(AB60,LOOKUPS!$D$2:$D$6,0))*25,"INVALID"))</x:f>
      </x:c>
      <x:c r="BK60" t="str">
        <x:f>IF(AF60="","",IFERROR((5-MATCH(AF60,LOOKUPS!$E$2:$E$6,0))*25,"INVALID"))</x:f>
      </x:c>
      <x:c r="BL60" t="str">
        <x:f>IF(AK60="","",IFERROR((5-MATCH(AK60,LOOKUPS!$F$2:$F$6,0))*25,"INVALID"))</x:f>
      </x:c>
      <x:c r="BM60" t="str">
        <x:f>IF(AO60="","",IFERROR((5-MATCH(AO60,LOOKUPS!$G$2:$G$6,0))*25,"INVALID"))</x:f>
      </x:c>
      <x:c r="BN60" t="str">
        <x:f>IF(AV60="","",IF(AV60="We have a full water system in-house (not dependent on any provider)","N/A",IFERROR((5-MATCH(AV60,LOOKUPS!$H$2:$H$7,0))*25,"INVALID")))</x:f>
      </x:c>
      <x:c r="BO60" t="str">
        <x:f>IF(COUNTIF(BG60:BN60,"INVALID")&gt;0,"",IF(COUNT(BG60:BN60)=0,"",ROUND(AVERAGE(BG60:BN60),6)))</x:f>
      </x:c>
      <x:c r="BP60" t="str">
        <x:f>IF(COUNTIF(BG60:BN60,"INVALID")&gt;0,"INVALID",IF(COUNT(BG60:BN60)=0,"NOT ENTERED",IF(COUNT(BG60:BN60)&lt;7,"LOW COVERAGE","VALID")))</x:f>
        <x:v>NOT ENTERED</x:v>
      </x:c>
      <x:c r="BQ60" t="str">
        <x:f>IF(COUNTA(C60:H60)=0,"NOT ENTERED",IF(OR(COUNT(C60:H60)&lt;&gt;6,MIN(C60:H60)&lt;0,MAX(C60:H60)&gt;100),"INVALID",IF(ABS(SUM(C60:H60)-100)&lt;0.000001,"VALID","CHECK SHARES")))</x:f>
        <x:v>NOT ENTERED</x:v>
      </x:c>
    </x:row>
    <x:row r="61">
      <x:c r="BG61" t="str">
        <x:f>IF(J61="","",IFERROR((5-MATCH(J61,LOOKUPS!$A$2:$A$6,0))*25,"INVALID"))</x:f>
      </x:c>
      <x:c r="BH61" t="str">
        <x:f>IF(Q61="","",IFERROR((5-MATCH(Q61,LOOKUPS!$B$2:$B$6,0))*25,"INVALID"))</x:f>
      </x:c>
      <x:c r="BI61" t="str">
        <x:f>IF(W61="","",IFERROR((5-MATCH(W61,LOOKUPS!$C$2:$C$6,0))*25,"INVALID"))</x:f>
      </x:c>
      <x:c r="BJ61" t="str">
        <x:f>IF(AB61="","",IFERROR((5-MATCH(AB61,LOOKUPS!$D$2:$D$6,0))*25,"INVALID"))</x:f>
      </x:c>
      <x:c r="BK61" t="str">
        <x:f>IF(AF61="","",IFERROR((5-MATCH(AF61,LOOKUPS!$E$2:$E$6,0))*25,"INVALID"))</x:f>
      </x:c>
      <x:c r="BL61" t="str">
        <x:f>IF(AK61="","",IFERROR((5-MATCH(AK61,LOOKUPS!$F$2:$F$6,0))*25,"INVALID"))</x:f>
      </x:c>
      <x:c r="BM61" t="str">
        <x:f>IF(AO61="","",IFERROR((5-MATCH(AO61,LOOKUPS!$G$2:$G$6,0))*25,"INVALID"))</x:f>
      </x:c>
      <x:c r="BN61" t="str">
        <x:f>IF(AV61="","",IF(AV61="We have a full water system in-house (not dependent on any provider)","N/A",IFERROR((5-MATCH(AV61,LOOKUPS!$H$2:$H$7,0))*25,"INVALID")))</x:f>
      </x:c>
      <x:c r="BO61" t="str">
        <x:f>IF(COUNTIF(BG61:BN61,"INVALID")&gt;0,"",IF(COUNT(BG61:BN61)=0,"",ROUND(AVERAGE(BG61:BN61),6)))</x:f>
      </x:c>
      <x:c r="BP61" t="str">
        <x:f>IF(COUNTIF(BG61:BN61,"INVALID")&gt;0,"INVALID",IF(COUNT(BG61:BN61)=0,"NOT ENTERED",IF(COUNT(BG61:BN61)&lt;7,"LOW COVERAGE","VALID")))</x:f>
        <x:v>NOT ENTERED</x:v>
      </x:c>
      <x:c r="BQ61" t="str">
        <x:f>IF(COUNTA(C61:H61)=0,"NOT ENTERED",IF(OR(COUNT(C61:H61)&lt;&gt;6,MIN(C61:H61)&lt;0,MAX(C61:H61)&gt;100),"INVALID",IF(ABS(SUM(C61:H61)-100)&lt;0.000001,"VALID","CHECK SHARES")))</x:f>
        <x:v>NOT ENTERED</x:v>
      </x:c>
    </x:row>
    <x:row r="62">
      <x:c r="BG62" t="str">
        <x:f>IF(J62="","",IFERROR((5-MATCH(J62,LOOKUPS!$A$2:$A$6,0))*25,"INVALID"))</x:f>
      </x:c>
      <x:c r="BH62" t="str">
        <x:f>IF(Q62="","",IFERROR((5-MATCH(Q62,LOOKUPS!$B$2:$B$6,0))*25,"INVALID"))</x:f>
      </x:c>
      <x:c r="BI62" t="str">
        <x:f>IF(W62="","",IFERROR((5-MATCH(W62,LOOKUPS!$C$2:$C$6,0))*25,"INVALID"))</x:f>
      </x:c>
      <x:c r="BJ62" t="str">
        <x:f>IF(AB62="","",IFERROR((5-MATCH(AB62,LOOKUPS!$D$2:$D$6,0))*25,"INVALID"))</x:f>
      </x:c>
      <x:c r="BK62" t="str">
        <x:f>IF(AF62="","",IFERROR((5-MATCH(AF62,LOOKUPS!$E$2:$E$6,0))*25,"INVALID"))</x:f>
      </x:c>
      <x:c r="BL62" t="str">
        <x:f>IF(AK62="","",IFERROR((5-MATCH(AK62,LOOKUPS!$F$2:$F$6,0))*25,"INVALID"))</x:f>
      </x:c>
      <x:c r="BM62" t="str">
        <x:f>IF(AO62="","",IFERROR((5-MATCH(AO62,LOOKUPS!$G$2:$G$6,0))*25,"INVALID"))</x:f>
      </x:c>
      <x:c r="BN62" t="str">
        <x:f>IF(AV62="","",IF(AV62="We have a full water system in-house (not dependent on any provider)","N/A",IFERROR((5-MATCH(AV62,LOOKUPS!$H$2:$H$7,0))*25,"INVALID")))</x:f>
      </x:c>
      <x:c r="BO62" t="str">
        <x:f>IF(COUNTIF(BG62:BN62,"INVALID")&gt;0,"",IF(COUNT(BG62:BN62)=0,"",ROUND(AVERAGE(BG62:BN62),6)))</x:f>
      </x:c>
      <x:c r="BP62" t="str">
        <x:f>IF(COUNTIF(BG62:BN62,"INVALID")&gt;0,"INVALID",IF(COUNT(BG62:BN62)=0,"NOT ENTERED",IF(COUNT(BG62:BN62)&lt;7,"LOW COVERAGE","VALID")))</x:f>
        <x:v>NOT ENTERED</x:v>
      </x:c>
      <x:c r="BQ62" t="str">
        <x:f>IF(COUNTA(C62:H62)=0,"NOT ENTERED",IF(OR(COUNT(C62:H62)&lt;&gt;6,MIN(C62:H62)&lt;0,MAX(C62:H62)&gt;100),"INVALID",IF(ABS(SUM(C62:H62)-100)&lt;0.000001,"VALID","CHECK SHARES")))</x:f>
        <x:v>NOT ENTERED</x:v>
      </x:c>
    </x:row>
    <x:row r="63">
      <x:c r="BG63" t="str">
        <x:f>IF(J63="","",IFERROR((5-MATCH(J63,LOOKUPS!$A$2:$A$6,0))*25,"INVALID"))</x:f>
      </x:c>
      <x:c r="BH63" t="str">
        <x:f>IF(Q63="","",IFERROR((5-MATCH(Q63,LOOKUPS!$B$2:$B$6,0))*25,"INVALID"))</x:f>
      </x:c>
      <x:c r="BI63" t="str">
        <x:f>IF(W63="","",IFERROR((5-MATCH(W63,LOOKUPS!$C$2:$C$6,0))*25,"INVALID"))</x:f>
      </x:c>
      <x:c r="BJ63" t="str">
        <x:f>IF(AB63="","",IFERROR((5-MATCH(AB63,LOOKUPS!$D$2:$D$6,0))*25,"INVALID"))</x:f>
      </x:c>
      <x:c r="BK63" t="str">
        <x:f>IF(AF63="","",IFERROR((5-MATCH(AF63,LOOKUPS!$E$2:$E$6,0))*25,"INVALID"))</x:f>
      </x:c>
      <x:c r="BL63" t="str">
        <x:f>IF(AK63="","",IFERROR((5-MATCH(AK63,LOOKUPS!$F$2:$F$6,0))*25,"INVALID"))</x:f>
      </x:c>
      <x:c r="BM63" t="str">
        <x:f>IF(AO63="","",IFERROR((5-MATCH(AO63,LOOKUPS!$G$2:$G$6,0))*25,"INVALID"))</x:f>
      </x:c>
      <x:c r="BN63" t="str">
        <x:f>IF(AV63="","",IF(AV63="We have a full water system in-house (not dependent on any provider)","N/A",IFERROR((5-MATCH(AV63,LOOKUPS!$H$2:$H$7,0))*25,"INVALID")))</x:f>
      </x:c>
      <x:c r="BO63" t="str">
        <x:f>IF(COUNTIF(BG63:BN63,"INVALID")&gt;0,"",IF(COUNT(BG63:BN63)=0,"",ROUND(AVERAGE(BG63:BN63),6)))</x:f>
      </x:c>
      <x:c r="BP63" t="str">
        <x:f>IF(COUNTIF(BG63:BN63,"INVALID")&gt;0,"INVALID",IF(COUNT(BG63:BN63)=0,"NOT ENTERED",IF(COUNT(BG63:BN63)&lt;7,"LOW COVERAGE","VALID")))</x:f>
        <x:v>NOT ENTERED</x:v>
      </x:c>
      <x:c r="BQ63" t="str">
        <x:f>IF(COUNTA(C63:H63)=0,"NOT ENTERED",IF(OR(COUNT(C63:H63)&lt;&gt;6,MIN(C63:H63)&lt;0,MAX(C63:H63)&gt;100),"INVALID",IF(ABS(SUM(C63:H63)-100)&lt;0.000001,"VALID","CHECK SHARES")))</x:f>
        <x:v>NOT ENTERED</x:v>
      </x:c>
    </x:row>
    <x:row r="64">
      <x:c r="BG64" t="str">
        <x:f>IF(J64="","",IFERROR((5-MATCH(J64,LOOKUPS!$A$2:$A$6,0))*25,"INVALID"))</x:f>
      </x:c>
      <x:c r="BH64" t="str">
        <x:f>IF(Q64="","",IFERROR((5-MATCH(Q64,LOOKUPS!$B$2:$B$6,0))*25,"INVALID"))</x:f>
      </x:c>
      <x:c r="BI64" t="str">
        <x:f>IF(W64="","",IFERROR((5-MATCH(W64,LOOKUPS!$C$2:$C$6,0))*25,"INVALID"))</x:f>
      </x:c>
      <x:c r="BJ64" t="str">
        <x:f>IF(AB64="","",IFERROR((5-MATCH(AB64,LOOKUPS!$D$2:$D$6,0))*25,"INVALID"))</x:f>
      </x:c>
      <x:c r="BK64" t="str">
        <x:f>IF(AF64="","",IFERROR((5-MATCH(AF64,LOOKUPS!$E$2:$E$6,0))*25,"INVALID"))</x:f>
      </x:c>
      <x:c r="BL64" t="str">
        <x:f>IF(AK64="","",IFERROR((5-MATCH(AK64,LOOKUPS!$F$2:$F$6,0))*25,"INVALID"))</x:f>
      </x:c>
      <x:c r="BM64" t="str">
        <x:f>IF(AO64="","",IFERROR((5-MATCH(AO64,LOOKUPS!$G$2:$G$6,0))*25,"INVALID"))</x:f>
      </x:c>
      <x:c r="BN64" t="str">
        <x:f>IF(AV64="","",IF(AV64="We have a full water system in-house (not dependent on any provider)","N/A",IFERROR((5-MATCH(AV64,LOOKUPS!$H$2:$H$7,0))*25,"INVALID")))</x:f>
      </x:c>
      <x:c r="BO64" t="str">
        <x:f>IF(COUNTIF(BG64:BN64,"INVALID")&gt;0,"",IF(COUNT(BG64:BN64)=0,"",ROUND(AVERAGE(BG64:BN64),6)))</x:f>
      </x:c>
      <x:c r="BP64" t="str">
        <x:f>IF(COUNTIF(BG64:BN64,"INVALID")&gt;0,"INVALID",IF(COUNT(BG64:BN64)=0,"NOT ENTERED",IF(COUNT(BG64:BN64)&lt;7,"LOW COVERAGE","VALID")))</x:f>
        <x:v>NOT ENTERED</x:v>
      </x:c>
      <x:c r="BQ64" t="str">
        <x:f>IF(COUNTA(C64:H64)=0,"NOT ENTERED",IF(OR(COUNT(C64:H64)&lt;&gt;6,MIN(C64:H64)&lt;0,MAX(C64:H64)&gt;100),"INVALID",IF(ABS(SUM(C64:H64)-100)&lt;0.000001,"VALID","CHECK SHARES")))</x:f>
        <x:v>NOT ENTERED</x:v>
      </x:c>
    </x:row>
    <x:row r="65">
      <x:c r="BG65" t="str">
        <x:f>IF(J65="","",IFERROR((5-MATCH(J65,LOOKUPS!$A$2:$A$6,0))*25,"INVALID"))</x:f>
      </x:c>
      <x:c r="BH65" t="str">
        <x:f>IF(Q65="","",IFERROR((5-MATCH(Q65,LOOKUPS!$B$2:$B$6,0))*25,"INVALID"))</x:f>
      </x:c>
      <x:c r="BI65" t="str">
        <x:f>IF(W65="","",IFERROR((5-MATCH(W65,LOOKUPS!$C$2:$C$6,0))*25,"INVALID"))</x:f>
      </x:c>
      <x:c r="BJ65" t="str">
        <x:f>IF(AB65="","",IFERROR((5-MATCH(AB65,LOOKUPS!$D$2:$D$6,0))*25,"INVALID"))</x:f>
      </x:c>
      <x:c r="BK65" t="str">
        <x:f>IF(AF65="","",IFERROR((5-MATCH(AF65,LOOKUPS!$E$2:$E$6,0))*25,"INVALID"))</x:f>
      </x:c>
      <x:c r="BL65" t="str">
        <x:f>IF(AK65="","",IFERROR((5-MATCH(AK65,LOOKUPS!$F$2:$F$6,0))*25,"INVALID"))</x:f>
      </x:c>
      <x:c r="BM65" t="str">
        <x:f>IF(AO65="","",IFERROR((5-MATCH(AO65,LOOKUPS!$G$2:$G$6,0))*25,"INVALID"))</x:f>
      </x:c>
      <x:c r="BN65" t="str">
        <x:f>IF(AV65="","",IF(AV65="We have a full water system in-house (not dependent on any provider)","N/A",IFERROR((5-MATCH(AV65,LOOKUPS!$H$2:$H$7,0))*25,"INVALID")))</x:f>
      </x:c>
      <x:c r="BO65" t="str">
        <x:f>IF(COUNTIF(BG65:BN65,"INVALID")&gt;0,"",IF(COUNT(BG65:BN65)=0,"",ROUND(AVERAGE(BG65:BN65),6)))</x:f>
      </x:c>
      <x:c r="BP65" t="str">
        <x:f>IF(COUNTIF(BG65:BN65,"INVALID")&gt;0,"INVALID",IF(COUNT(BG65:BN65)=0,"NOT ENTERED",IF(COUNT(BG65:BN65)&lt;7,"LOW COVERAGE","VALID")))</x:f>
        <x:v>NOT ENTERED</x:v>
      </x:c>
      <x:c r="BQ65" t="str">
        <x:f>IF(COUNTA(C65:H65)=0,"NOT ENTERED",IF(OR(COUNT(C65:H65)&lt;&gt;6,MIN(C65:H65)&lt;0,MAX(C65:H65)&gt;100),"INVALID",IF(ABS(SUM(C65:H65)-100)&lt;0.000001,"VALID","CHECK SHARES")))</x:f>
        <x:v>NOT ENTERED</x:v>
      </x:c>
    </x:row>
    <x:row r="66">
      <x:c r="BG66" t="str">
        <x:f>IF(J66="","",IFERROR((5-MATCH(J66,LOOKUPS!$A$2:$A$6,0))*25,"INVALID"))</x:f>
      </x:c>
      <x:c r="BH66" t="str">
        <x:f>IF(Q66="","",IFERROR((5-MATCH(Q66,LOOKUPS!$B$2:$B$6,0))*25,"INVALID"))</x:f>
      </x:c>
      <x:c r="BI66" t="str">
        <x:f>IF(W66="","",IFERROR((5-MATCH(W66,LOOKUPS!$C$2:$C$6,0))*25,"INVALID"))</x:f>
      </x:c>
      <x:c r="BJ66" t="str">
        <x:f>IF(AB66="","",IFERROR((5-MATCH(AB66,LOOKUPS!$D$2:$D$6,0))*25,"INVALID"))</x:f>
      </x:c>
      <x:c r="BK66" t="str">
        <x:f>IF(AF66="","",IFERROR((5-MATCH(AF66,LOOKUPS!$E$2:$E$6,0))*25,"INVALID"))</x:f>
      </x:c>
      <x:c r="BL66" t="str">
        <x:f>IF(AK66="","",IFERROR((5-MATCH(AK66,LOOKUPS!$F$2:$F$6,0))*25,"INVALID"))</x:f>
      </x:c>
      <x:c r="BM66" t="str">
        <x:f>IF(AO66="","",IFERROR((5-MATCH(AO66,LOOKUPS!$G$2:$G$6,0))*25,"INVALID"))</x:f>
      </x:c>
      <x:c r="BN66" t="str">
        <x:f>IF(AV66="","",IF(AV66="We have a full water system in-house (not dependent on any provider)","N/A",IFERROR((5-MATCH(AV66,LOOKUPS!$H$2:$H$7,0))*25,"INVALID")))</x:f>
      </x:c>
      <x:c r="BO66" t="str">
        <x:f>IF(COUNTIF(BG66:BN66,"INVALID")&gt;0,"",IF(COUNT(BG66:BN66)=0,"",ROUND(AVERAGE(BG66:BN66),6)))</x:f>
      </x:c>
      <x:c r="BP66" t="str">
        <x:f>IF(COUNTIF(BG66:BN66,"INVALID")&gt;0,"INVALID",IF(COUNT(BG66:BN66)=0,"NOT ENTERED",IF(COUNT(BG66:BN66)&lt;7,"LOW COVERAGE","VALID")))</x:f>
        <x:v>NOT ENTERED</x:v>
      </x:c>
      <x:c r="BQ66" t="str">
        <x:f>IF(COUNTA(C66:H66)=0,"NOT ENTERED",IF(OR(COUNT(C66:H66)&lt;&gt;6,MIN(C66:H66)&lt;0,MAX(C66:H66)&gt;100),"INVALID",IF(ABS(SUM(C66:H66)-100)&lt;0.000001,"VALID","CHECK SHARES")))</x:f>
        <x:v>NOT ENTERED</x:v>
      </x:c>
    </x:row>
    <x:row r="67">
      <x:c r="BG67" t="str">
        <x:f>IF(J67="","",IFERROR((5-MATCH(J67,LOOKUPS!$A$2:$A$6,0))*25,"INVALID"))</x:f>
      </x:c>
      <x:c r="BH67" t="str">
        <x:f>IF(Q67="","",IFERROR((5-MATCH(Q67,LOOKUPS!$B$2:$B$6,0))*25,"INVALID"))</x:f>
      </x:c>
      <x:c r="BI67" t="str">
        <x:f>IF(W67="","",IFERROR((5-MATCH(W67,LOOKUPS!$C$2:$C$6,0))*25,"INVALID"))</x:f>
      </x:c>
      <x:c r="BJ67" t="str">
        <x:f>IF(AB67="","",IFERROR((5-MATCH(AB67,LOOKUPS!$D$2:$D$6,0))*25,"INVALID"))</x:f>
      </x:c>
      <x:c r="BK67" t="str">
        <x:f>IF(AF67="","",IFERROR((5-MATCH(AF67,LOOKUPS!$E$2:$E$6,0))*25,"INVALID"))</x:f>
      </x:c>
      <x:c r="BL67" t="str">
        <x:f>IF(AK67="","",IFERROR((5-MATCH(AK67,LOOKUPS!$F$2:$F$6,0))*25,"INVALID"))</x:f>
      </x:c>
      <x:c r="BM67" t="str">
        <x:f>IF(AO67="","",IFERROR((5-MATCH(AO67,LOOKUPS!$G$2:$G$6,0))*25,"INVALID"))</x:f>
      </x:c>
      <x:c r="BN67" t="str">
        <x:f>IF(AV67="","",IF(AV67="We have a full water system in-house (not dependent on any provider)","N/A",IFERROR((5-MATCH(AV67,LOOKUPS!$H$2:$H$7,0))*25,"INVALID")))</x:f>
      </x:c>
      <x:c r="BO67" t="str">
        <x:f>IF(COUNTIF(BG67:BN67,"INVALID")&gt;0,"",IF(COUNT(BG67:BN67)=0,"",ROUND(AVERAGE(BG67:BN67),6)))</x:f>
      </x:c>
      <x:c r="BP67" t="str">
        <x:f>IF(COUNTIF(BG67:BN67,"INVALID")&gt;0,"INVALID",IF(COUNT(BG67:BN67)=0,"NOT ENTERED",IF(COUNT(BG67:BN67)&lt;7,"LOW COVERAGE","VALID")))</x:f>
        <x:v>NOT ENTERED</x:v>
      </x:c>
      <x:c r="BQ67" t="str">
        <x:f>IF(COUNTA(C67:H67)=0,"NOT ENTERED",IF(OR(COUNT(C67:H67)&lt;&gt;6,MIN(C67:H67)&lt;0,MAX(C67:H67)&gt;100),"INVALID",IF(ABS(SUM(C67:H67)-100)&lt;0.000001,"VALID","CHECK SHARES")))</x:f>
        <x:v>NOT ENTERED</x:v>
      </x:c>
    </x:row>
    <x:row r="68">
      <x:c r="BG68" t="str">
        <x:f>IF(J68="","",IFERROR((5-MATCH(J68,LOOKUPS!$A$2:$A$6,0))*25,"INVALID"))</x:f>
      </x:c>
      <x:c r="BH68" t="str">
        <x:f>IF(Q68="","",IFERROR((5-MATCH(Q68,LOOKUPS!$B$2:$B$6,0))*25,"INVALID"))</x:f>
      </x:c>
      <x:c r="BI68" t="str">
        <x:f>IF(W68="","",IFERROR((5-MATCH(W68,LOOKUPS!$C$2:$C$6,0))*25,"INVALID"))</x:f>
      </x:c>
      <x:c r="BJ68" t="str">
        <x:f>IF(AB68="","",IFERROR((5-MATCH(AB68,LOOKUPS!$D$2:$D$6,0))*25,"INVALID"))</x:f>
      </x:c>
      <x:c r="BK68" t="str">
        <x:f>IF(AF68="","",IFERROR((5-MATCH(AF68,LOOKUPS!$E$2:$E$6,0))*25,"INVALID"))</x:f>
      </x:c>
      <x:c r="BL68" t="str">
        <x:f>IF(AK68="","",IFERROR((5-MATCH(AK68,LOOKUPS!$F$2:$F$6,0))*25,"INVALID"))</x:f>
      </x:c>
      <x:c r="BM68" t="str">
        <x:f>IF(AO68="","",IFERROR((5-MATCH(AO68,LOOKUPS!$G$2:$G$6,0))*25,"INVALID"))</x:f>
      </x:c>
      <x:c r="BN68" t="str">
        <x:f>IF(AV68="","",IF(AV68="We have a full water system in-house (not dependent on any provider)","N/A",IFERROR((5-MATCH(AV68,LOOKUPS!$H$2:$H$7,0))*25,"INVALID")))</x:f>
      </x:c>
      <x:c r="BO68" t="str">
        <x:f>IF(COUNTIF(BG68:BN68,"INVALID")&gt;0,"",IF(COUNT(BG68:BN68)=0,"",ROUND(AVERAGE(BG68:BN68),6)))</x:f>
      </x:c>
      <x:c r="BP68" t="str">
        <x:f>IF(COUNTIF(BG68:BN68,"INVALID")&gt;0,"INVALID",IF(COUNT(BG68:BN68)=0,"NOT ENTERED",IF(COUNT(BG68:BN68)&lt;7,"LOW COVERAGE","VALID")))</x:f>
        <x:v>NOT ENTERED</x:v>
      </x:c>
      <x:c r="BQ68" t="str">
        <x:f>IF(COUNTA(C68:H68)=0,"NOT ENTERED",IF(OR(COUNT(C68:H68)&lt;&gt;6,MIN(C68:H68)&lt;0,MAX(C68:H68)&gt;100),"INVALID",IF(ABS(SUM(C68:H68)-100)&lt;0.000001,"VALID","CHECK SHARES")))</x:f>
        <x:v>NOT ENTERED</x:v>
      </x:c>
    </x:row>
    <x:row r="69">
      <x:c r="BG69" t="str">
        <x:f>IF(J69="","",IFERROR((5-MATCH(J69,LOOKUPS!$A$2:$A$6,0))*25,"INVALID"))</x:f>
      </x:c>
      <x:c r="BH69" t="str">
        <x:f>IF(Q69="","",IFERROR((5-MATCH(Q69,LOOKUPS!$B$2:$B$6,0))*25,"INVALID"))</x:f>
      </x:c>
      <x:c r="BI69" t="str">
        <x:f>IF(W69="","",IFERROR((5-MATCH(W69,LOOKUPS!$C$2:$C$6,0))*25,"INVALID"))</x:f>
      </x:c>
      <x:c r="BJ69" t="str">
        <x:f>IF(AB69="","",IFERROR((5-MATCH(AB69,LOOKUPS!$D$2:$D$6,0))*25,"INVALID"))</x:f>
      </x:c>
      <x:c r="BK69" t="str">
        <x:f>IF(AF69="","",IFERROR((5-MATCH(AF69,LOOKUPS!$E$2:$E$6,0))*25,"INVALID"))</x:f>
      </x:c>
      <x:c r="BL69" t="str">
        <x:f>IF(AK69="","",IFERROR((5-MATCH(AK69,LOOKUPS!$F$2:$F$6,0))*25,"INVALID"))</x:f>
      </x:c>
      <x:c r="BM69" t="str">
        <x:f>IF(AO69="","",IFERROR((5-MATCH(AO69,LOOKUPS!$G$2:$G$6,0))*25,"INVALID"))</x:f>
      </x:c>
      <x:c r="BN69" t="str">
        <x:f>IF(AV69="","",IF(AV69="We have a full water system in-house (not dependent on any provider)","N/A",IFERROR((5-MATCH(AV69,LOOKUPS!$H$2:$H$7,0))*25,"INVALID")))</x:f>
      </x:c>
      <x:c r="BO69" t="str">
        <x:f>IF(COUNTIF(BG69:BN69,"INVALID")&gt;0,"",IF(COUNT(BG69:BN69)=0,"",ROUND(AVERAGE(BG69:BN69),6)))</x:f>
      </x:c>
      <x:c r="BP69" t="str">
        <x:f>IF(COUNTIF(BG69:BN69,"INVALID")&gt;0,"INVALID",IF(COUNT(BG69:BN69)=0,"NOT ENTERED",IF(COUNT(BG69:BN69)&lt;7,"LOW COVERAGE","VALID")))</x:f>
        <x:v>NOT ENTERED</x:v>
      </x:c>
      <x:c r="BQ69" t="str">
        <x:f>IF(COUNTA(C69:H69)=0,"NOT ENTERED",IF(OR(COUNT(C69:H69)&lt;&gt;6,MIN(C69:H69)&lt;0,MAX(C69:H69)&gt;100),"INVALID",IF(ABS(SUM(C69:H69)-100)&lt;0.000001,"VALID","CHECK SHARES")))</x:f>
        <x:v>NOT ENTERED</x:v>
      </x:c>
    </x:row>
    <x:row r="70">
      <x:c r="BG70" t="str">
        <x:f>IF(J70="","",IFERROR((5-MATCH(J70,LOOKUPS!$A$2:$A$6,0))*25,"INVALID"))</x:f>
      </x:c>
      <x:c r="BH70" t="str">
        <x:f>IF(Q70="","",IFERROR((5-MATCH(Q70,LOOKUPS!$B$2:$B$6,0))*25,"INVALID"))</x:f>
      </x:c>
      <x:c r="BI70" t="str">
        <x:f>IF(W70="","",IFERROR((5-MATCH(W70,LOOKUPS!$C$2:$C$6,0))*25,"INVALID"))</x:f>
      </x:c>
      <x:c r="BJ70" t="str">
        <x:f>IF(AB70="","",IFERROR((5-MATCH(AB70,LOOKUPS!$D$2:$D$6,0))*25,"INVALID"))</x:f>
      </x:c>
      <x:c r="BK70" t="str">
        <x:f>IF(AF70="","",IFERROR((5-MATCH(AF70,LOOKUPS!$E$2:$E$6,0))*25,"INVALID"))</x:f>
      </x:c>
      <x:c r="BL70" t="str">
        <x:f>IF(AK70="","",IFERROR((5-MATCH(AK70,LOOKUPS!$F$2:$F$6,0))*25,"INVALID"))</x:f>
      </x:c>
      <x:c r="BM70" t="str">
        <x:f>IF(AO70="","",IFERROR((5-MATCH(AO70,LOOKUPS!$G$2:$G$6,0))*25,"INVALID"))</x:f>
      </x:c>
      <x:c r="BN70" t="str">
        <x:f>IF(AV70="","",IF(AV70="We have a full water system in-house (not dependent on any provider)","N/A",IFERROR((5-MATCH(AV70,LOOKUPS!$H$2:$H$7,0))*25,"INVALID")))</x:f>
      </x:c>
      <x:c r="BO70" t="str">
        <x:f>IF(COUNTIF(BG70:BN70,"INVALID")&gt;0,"",IF(COUNT(BG70:BN70)=0,"",ROUND(AVERAGE(BG70:BN70),6)))</x:f>
      </x:c>
      <x:c r="BP70" t="str">
        <x:f>IF(COUNTIF(BG70:BN70,"INVALID")&gt;0,"INVALID",IF(COUNT(BG70:BN70)=0,"NOT ENTERED",IF(COUNT(BG70:BN70)&lt;7,"LOW COVERAGE","VALID")))</x:f>
        <x:v>NOT ENTERED</x:v>
      </x:c>
      <x:c r="BQ70" t="str">
        <x:f>IF(COUNTA(C70:H70)=0,"NOT ENTERED",IF(OR(COUNT(C70:H70)&lt;&gt;6,MIN(C70:H70)&lt;0,MAX(C70:H70)&gt;100),"INVALID",IF(ABS(SUM(C70:H70)-100)&lt;0.000001,"VALID","CHECK SHARES")))</x:f>
        <x:v>NOT ENTERED</x:v>
      </x:c>
    </x:row>
    <x:row r="71">
      <x:c r="BG71" t="str">
        <x:f>IF(J71="","",IFERROR((5-MATCH(J71,LOOKUPS!$A$2:$A$6,0))*25,"INVALID"))</x:f>
      </x:c>
      <x:c r="BH71" t="str">
        <x:f>IF(Q71="","",IFERROR((5-MATCH(Q71,LOOKUPS!$B$2:$B$6,0))*25,"INVALID"))</x:f>
      </x:c>
      <x:c r="BI71" t="str">
        <x:f>IF(W71="","",IFERROR((5-MATCH(W71,LOOKUPS!$C$2:$C$6,0))*25,"INVALID"))</x:f>
      </x:c>
      <x:c r="BJ71" t="str">
        <x:f>IF(AB71="","",IFERROR((5-MATCH(AB71,LOOKUPS!$D$2:$D$6,0))*25,"INVALID"))</x:f>
      </x:c>
      <x:c r="BK71" t="str">
        <x:f>IF(AF71="","",IFERROR((5-MATCH(AF71,LOOKUPS!$E$2:$E$6,0))*25,"INVALID"))</x:f>
      </x:c>
      <x:c r="BL71" t="str">
        <x:f>IF(AK71="","",IFERROR((5-MATCH(AK71,LOOKUPS!$F$2:$F$6,0))*25,"INVALID"))</x:f>
      </x:c>
      <x:c r="BM71" t="str">
        <x:f>IF(AO71="","",IFERROR((5-MATCH(AO71,LOOKUPS!$G$2:$G$6,0))*25,"INVALID"))</x:f>
      </x:c>
      <x:c r="BN71" t="str">
        <x:f>IF(AV71="","",IF(AV71="We have a full water system in-house (not dependent on any provider)","N/A",IFERROR((5-MATCH(AV71,LOOKUPS!$H$2:$H$7,0))*25,"INVALID")))</x:f>
      </x:c>
      <x:c r="BO71" t="str">
        <x:f>IF(COUNTIF(BG71:BN71,"INVALID")&gt;0,"",IF(COUNT(BG71:BN71)=0,"",ROUND(AVERAGE(BG71:BN71),6)))</x:f>
      </x:c>
      <x:c r="BP71" t="str">
        <x:f>IF(COUNTIF(BG71:BN71,"INVALID")&gt;0,"INVALID",IF(COUNT(BG71:BN71)=0,"NOT ENTERED",IF(COUNT(BG71:BN71)&lt;7,"LOW COVERAGE","VALID")))</x:f>
        <x:v>NOT ENTERED</x:v>
      </x:c>
      <x:c r="BQ71" t="str">
        <x:f>IF(COUNTA(C71:H71)=0,"NOT ENTERED",IF(OR(COUNT(C71:H71)&lt;&gt;6,MIN(C71:H71)&lt;0,MAX(C71:H71)&gt;100),"INVALID",IF(ABS(SUM(C71:H71)-100)&lt;0.000001,"VALID","CHECK SHARES")))</x:f>
        <x:v>NOT ENTERED</x:v>
      </x:c>
    </x:row>
    <x:row r="72">
      <x:c r="BG72" t="str">
        <x:f>IF(J72="","",IFERROR((5-MATCH(J72,LOOKUPS!$A$2:$A$6,0))*25,"INVALID"))</x:f>
      </x:c>
      <x:c r="BH72" t="str">
        <x:f>IF(Q72="","",IFERROR((5-MATCH(Q72,LOOKUPS!$B$2:$B$6,0))*25,"INVALID"))</x:f>
      </x:c>
      <x:c r="BI72" t="str">
        <x:f>IF(W72="","",IFERROR((5-MATCH(W72,LOOKUPS!$C$2:$C$6,0))*25,"INVALID"))</x:f>
      </x:c>
      <x:c r="BJ72" t="str">
        <x:f>IF(AB72="","",IFERROR((5-MATCH(AB72,LOOKUPS!$D$2:$D$6,0))*25,"INVALID"))</x:f>
      </x:c>
      <x:c r="BK72" t="str">
        <x:f>IF(AF72="","",IFERROR((5-MATCH(AF72,LOOKUPS!$E$2:$E$6,0))*25,"INVALID"))</x:f>
      </x:c>
      <x:c r="BL72" t="str">
        <x:f>IF(AK72="","",IFERROR((5-MATCH(AK72,LOOKUPS!$F$2:$F$6,0))*25,"INVALID"))</x:f>
      </x:c>
      <x:c r="BM72" t="str">
        <x:f>IF(AO72="","",IFERROR((5-MATCH(AO72,LOOKUPS!$G$2:$G$6,0))*25,"INVALID"))</x:f>
      </x:c>
      <x:c r="BN72" t="str">
        <x:f>IF(AV72="","",IF(AV72="We have a full water system in-house (not dependent on any provider)","N/A",IFERROR((5-MATCH(AV72,LOOKUPS!$H$2:$H$7,0))*25,"INVALID")))</x:f>
      </x:c>
      <x:c r="BO72" t="str">
        <x:f>IF(COUNTIF(BG72:BN72,"INVALID")&gt;0,"",IF(COUNT(BG72:BN72)=0,"",ROUND(AVERAGE(BG72:BN72),6)))</x:f>
      </x:c>
      <x:c r="BP72" t="str">
        <x:f>IF(COUNTIF(BG72:BN72,"INVALID")&gt;0,"INVALID",IF(COUNT(BG72:BN72)=0,"NOT ENTERED",IF(COUNT(BG72:BN72)&lt;7,"LOW COVERAGE","VALID")))</x:f>
        <x:v>NOT ENTERED</x:v>
      </x:c>
      <x:c r="BQ72" t="str">
        <x:f>IF(COUNTA(C72:H72)=0,"NOT ENTERED",IF(OR(COUNT(C72:H72)&lt;&gt;6,MIN(C72:H72)&lt;0,MAX(C72:H72)&gt;100),"INVALID",IF(ABS(SUM(C72:H72)-100)&lt;0.000001,"VALID","CHECK SHARES")))</x:f>
        <x:v>NOT ENTERED</x:v>
      </x:c>
    </x:row>
    <x:row r="73">
      <x:c r="BG73" t="str">
        <x:f>IF(J73="","",IFERROR((5-MATCH(J73,LOOKUPS!$A$2:$A$6,0))*25,"INVALID"))</x:f>
      </x:c>
      <x:c r="BH73" t="str">
        <x:f>IF(Q73="","",IFERROR((5-MATCH(Q73,LOOKUPS!$B$2:$B$6,0))*25,"INVALID"))</x:f>
      </x:c>
      <x:c r="BI73" t="str">
        <x:f>IF(W73="","",IFERROR((5-MATCH(W73,LOOKUPS!$C$2:$C$6,0))*25,"INVALID"))</x:f>
      </x:c>
      <x:c r="BJ73" t="str">
        <x:f>IF(AB73="","",IFERROR((5-MATCH(AB73,LOOKUPS!$D$2:$D$6,0))*25,"INVALID"))</x:f>
      </x:c>
      <x:c r="BK73" t="str">
        <x:f>IF(AF73="","",IFERROR((5-MATCH(AF73,LOOKUPS!$E$2:$E$6,0))*25,"INVALID"))</x:f>
      </x:c>
      <x:c r="BL73" t="str">
        <x:f>IF(AK73="","",IFERROR((5-MATCH(AK73,LOOKUPS!$F$2:$F$6,0))*25,"INVALID"))</x:f>
      </x:c>
      <x:c r="BM73" t="str">
        <x:f>IF(AO73="","",IFERROR((5-MATCH(AO73,LOOKUPS!$G$2:$G$6,0))*25,"INVALID"))</x:f>
      </x:c>
      <x:c r="BN73" t="str">
        <x:f>IF(AV73="","",IF(AV73="We have a full water system in-house (not dependent on any provider)","N/A",IFERROR((5-MATCH(AV73,LOOKUPS!$H$2:$H$7,0))*25,"INVALID")))</x:f>
      </x:c>
      <x:c r="BO73" t="str">
        <x:f>IF(COUNTIF(BG73:BN73,"INVALID")&gt;0,"",IF(COUNT(BG73:BN73)=0,"",ROUND(AVERAGE(BG73:BN73),6)))</x:f>
      </x:c>
      <x:c r="BP73" t="str">
        <x:f>IF(COUNTIF(BG73:BN73,"INVALID")&gt;0,"INVALID",IF(COUNT(BG73:BN73)=0,"NOT ENTERED",IF(COUNT(BG73:BN73)&lt;7,"LOW COVERAGE","VALID")))</x:f>
        <x:v>NOT ENTERED</x:v>
      </x:c>
      <x:c r="BQ73" t="str">
        <x:f>IF(COUNTA(C73:H73)=0,"NOT ENTERED",IF(OR(COUNT(C73:H73)&lt;&gt;6,MIN(C73:H73)&lt;0,MAX(C73:H73)&gt;100),"INVALID",IF(ABS(SUM(C73:H73)-100)&lt;0.000001,"VALID","CHECK SHARES")))</x:f>
        <x:v>NOT ENTERED</x:v>
      </x:c>
    </x:row>
    <x:row r="74">
      <x:c r="BG74" t="str">
        <x:f>IF(J74="","",IFERROR((5-MATCH(J74,LOOKUPS!$A$2:$A$6,0))*25,"INVALID"))</x:f>
      </x:c>
      <x:c r="BH74" t="str">
        <x:f>IF(Q74="","",IFERROR((5-MATCH(Q74,LOOKUPS!$B$2:$B$6,0))*25,"INVALID"))</x:f>
      </x:c>
      <x:c r="BI74" t="str">
        <x:f>IF(W74="","",IFERROR((5-MATCH(W74,LOOKUPS!$C$2:$C$6,0))*25,"INVALID"))</x:f>
      </x:c>
      <x:c r="BJ74" t="str">
        <x:f>IF(AB74="","",IFERROR((5-MATCH(AB74,LOOKUPS!$D$2:$D$6,0))*25,"INVALID"))</x:f>
      </x:c>
      <x:c r="BK74" t="str">
        <x:f>IF(AF74="","",IFERROR((5-MATCH(AF74,LOOKUPS!$E$2:$E$6,0))*25,"INVALID"))</x:f>
      </x:c>
      <x:c r="BL74" t="str">
        <x:f>IF(AK74="","",IFERROR((5-MATCH(AK74,LOOKUPS!$F$2:$F$6,0))*25,"INVALID"))</x:f>
      </x:c>
      <x:c r="BM74" t="str">
        <x:f>IF(AO74="","",IFERROR((5-MATCH(AO74,LOOKUPS!$G$2:$G$6,0))*25,"INVALID"))</x:f>
      </x:c>
      <x:c r="BN74" t="str">
        <x:f>IF(AV74="","",IF(AV74="We have a full water system in-house (not dependent on any provider)","N/A",IFERROR((5-MATCH(AV74,LOOKUPS!$H$2:$H$7,0))*25,"INVALID")))</x:f>
      </x:c>
      <x:c r="BO74" t="str">
        <x:f>IF(COUNTIF(BG74:BN74,"INVALID")&gt;0,"",IF(COUNT(BG74:BN74)=0,"",ROUND(AVERAGE(BG74:BN74),6)))</x:f>
      </x:c>
      <x:c r="BP74" t="str">
        <x:f>IF(COUNTIF(BG74:BN74,"INVALID")&gt;0,"INVALID",IF(COUNT(BG74:BN74)=0,"NOT ENTERED",IF(COUNT(BG74:BN74)&lt;7,"LOW COVERAGE","VALID")))</x:f>
        <x:v>NOT ENTERED</x:v>
      </x:c>
      <x:c r="BQ74" t="str">
        <x:f>IF(COUNTA(C74:H74)=0,"NOT ENTERED",IF(OR(COUNT(C74:H74)&lt;&gt;6,MIN(C74:H74)&lt;0,MAX(C74:H74)&gt;100),"INVALID",IF(ABS(SUM(C74:H74)-100)&lt;0.000001,"VALID","CHECK SHARES")))</x:f>
        <x:v>NOT ENTERED</x:v>
      </x:c>
    </x:row>
    <x:row r="75">
      <x:c r="BG75" t="str">
        <x:f>IF(J75="","",IFERROR((5-MATCH(J75,LOOKUPS!$A$2:$A$6,0))*25,"INVALID"))</x:f>
      </x:c>
      <x:c r="BH75" t="str">
        <x:f>IF(Q75="","",IFERROR((5-MATCH(Q75,LOOKUPS!$B$2:$B$6,0))*25,"INVALID"))</x:f>
      </x:c>
      <x:c r="BI75" t="str">
        <x:f>IF(W75="","",IFERROR((5-MATCH(W75,LOOKUPS!$C$2:$C$6,0))*25,"INVALID"))</x:f>
      </x:c>
      <x:c r="BJ75" t="str">
        <x:f>IF(AB75="","",IFERROR((5-MATCH(AB75,LOOKUPS!$D$2:$D$6,0))*25,"INVALID"))</x:f>
      </x:c>
      <x:c r="BK75" t="str">
        <x:f>IF(AF75="","",IFERROR((5-MATCH(AF75,LOOKUPS!$E$2:$E$6,0))*25,"INVALID"))</x:f>
      </x:c>
      <x:c r="BL75" t="str">
        <x:f>IF(AK75="","",IFERROR((5-MATCH(AK75,LOOKUPS!$F$2:$F$6,0))*25,"INVALID"))</x:f>
      </x:c>
      <x:c r="BM75" t="str">
        <x:f>IF(AO75="","",IFERROR((5-MATCH(AO75,LOOKUPS!$G$2:$G$6,0))*25,"INVALID"))</x:f>
      </x:c>
      <x:c r="BN75" t="str">
        <x:f>IF(AV75="","",IF(AV75="We have a full water system in-house (not dependent on any provider)","N/A",IFERROR((5-MATCH(AV75,LOOKUPS!$H$2:$H$7,0))*25,"INVALID")))</x:f>
      </x:c>
      <x:c r="BO75" t="str">
        <x:f>IF(COUNTIF(BG75:BN75,"INVALID")&gt;0,"",IF(COUNT(BG75:BN75)=0,"",ROUND(AVERAGE(BG75:BN75),6)))</x:f>
      </x:c>
      <x:c r="BP75" t="str">
        <x:f>IF(COUNTIF(BG75:BN75,"INVALID")&gt;0,"INVALID",IF(COUNT(BG75:BN75)=0,"NOT ENTERED",IF(COUNT(BG75:BN75)&lt;7,"LOW COVERAGE","VALID")))</x:f>
        <x:v>NOT ENTERED</x:v>
      </x:c>
      <x:c r="BQ75" t="str">
        <x:f>IF(COUNTA(C75:H75)=0,"NOT ENTERED",IF(OR(COUNT(C75:H75)&lt;&gt;6,MIN(C75:H75)&lt;0,MAX(C75:H75)&gt;100),"INVALID",IF(ABS(SUM(C75:H75)-100)&lt;0.000001,"VALID","CHECK SHARES")))</x:f>
        <x:v>NOT ENTERED</x:v>
      </x:c>
    </x:row>
    <x:row r="76">
      <x:c r="BG76" t="str">
        <x:f>IF(J76="","",IFERROR((5-MATCH(J76,LOOKUPS!$A$2:$A$6,0))*25,"INVALID"))</x:f>
      </x:c>
      <x:c r="BH76" t="str">
        <x:f>IF(Q76="","",IFERROR((5-MATCH(Q76,LOOKUPS!$B$2:$B$6,0))*25,"INVALID"))</x:f>
      </x:c>
      <x:c r="BI76" t="str">
        <x:f>IF(W76="","",IFERROR((5-MATCH(W76,LOOKUPS!$C$2:$C$6,0))*25,"INVALID"))</x:f>
      </x:c>
      <x:c r="BJ76" t="str">
        <x:f>IF(AB76="","",IFERROR((5-MATCH(AB76,LOOKUPS!$D$2:$D$6,0))*25,"INVALID"))</x:f>
      </x:c>
      <x:c r="BK76" t="str">
        <x:f>IF(AF76="","",IFERROR((5-MATCH(AF76,LOOKUPS!$E$2:$E$6,0))*25,"INVALID"))</x:f>
      </x:c>
      <x:c r="BL76" t="str">
        <x:f>IF(AK76="","",IFERROR((5-MATCH(AK76,LOOKUPS!$F$2:$F$6,0))*25,"INVALID"))</x:f>
      </x:c>
      <x:c r="BM76" t="str">
        <x:f>IF(AO76="","",IFERROR((5-MATCH(AO76,LOOKUPS!$G$2:$G$6,0))*25,"INVALID"))</x:f>
      </x:c>
      <x:c r="BN76" t="str">
        <x:f>IF(AV76="","",IF(AV76="We have a full water system in-house (not dependent on any provider)","N/A",IFERROR((5-MATCH(AV76,LOOKUPS!$H$2:$H$7,0))*25,"INVALID")))</x:f>
      </x:c>
      <x:c r="BO76" t="str">
        <x:f>IF(COUNTIF(BG76:BN76,"INVALID")&gt;0,"",IF(COUNT(BG76:BN76)=0,"",ROUND(AVERAGE(BG76:BN76),6)))</x:f>
      </x:c>
      <x:c r="BP76" t="str">
        <x:f>IF(COUNTIF(BG76:BN76,"INVALID")&gt;0,"INVALID",IF(COUNT(BG76:BN76)=0,"NOT ENTERED",IF(COUNT(BG76:BN76)&lt;7,"LOW COVERAGE","VALID")))</x:f>
        <x:v>NOT ENTERED</x:v>
      </x:c>
      <x:c r="BQ76" t="str">
        <x:f>IF(COUNTA(C76:H76)=0,"NOT ENTERED",IF(OR(COUNT(C76:H76)&lt;&gt;6,MIN(C76:H76)&lt;0,MAX(C76:H76)&gt;100),"INVALID",IF(ABS(SUM(C76:H76)-100)&lt;0.000001,"VALID","CHECK SHARES")))</x:f>
        <x:v>NOT ENTERED</x:v>
      </x:c>
    </x:row>
    <x:row r="77">
      <x:c r="BG77" t="str">
        <x:f>IF(J77="","",IFERROR((5-MATCH(J77,LOOKUPS!$A$2:$A$6,0))*25,"INVALID"))</x:f>
      </x:c>
      <x:c r="BH77" t="str">
        <x:f>IF(Q77="","",IFERROR((5-MATCH(Q77,LOOKUPS!$B$2:$B$6,0))*25,"INVALID"))</x:f>
      </x:c>
      <x:c r="BI77" t="str">
        <x:f>IF(W77="","",IFERROR((5-MATCH(W77,LOOKUPS!$C$2:$C$6,0))*25,"INVALID"))</x:f>
      </x:c>
      <x:c r="BJ77" t="str">
        <x:f>IF(AB77="","",IFERROR((5-MATCH(AB77,LOOKUPS!$D$2:$D$6,0))*25,"INVALID"))</x:f>
      </x:c>
      <x:c r="BK77" t="str">
        <x:f>IF(AF77="","",IFERROR((5-MATCH(AF77,LOOKUPS!$E$2:$E$6,0))*25,"INVALID"))</x:f>
      </x:c>
      <x:c r="BL77" t="str">
        <x:f>IF(AK77="","",IFERROR((5-MATCH(AK77,LOOKUPS!$F$2:$F$6,0))*25,"INVALID"))</x:f>
      </x:c>
      <x:c r="BM77" t="str">
        <x:f>IF(AO77="","",IFERROR((5-MATCH(AO77,LOOKUPS!$G$2:$G$6,0))*25,"INVALID"))</x:f>
      </x:c>
      <x:c r="BN77" t="str">
        <x:f>IF(AV77="","",IF(AV77="We have a full water system in-house (not dependent on any provider)","N/A",IFERROR((5-MATCH(AV77,LOOKUPS!$H$2:$H$7,0))*25,"INVALID")))</x:f>
      </x:c>
      <x:c r="BO77" t="str">
        <x:f>IF(COUNTIF(BG77:BN77,"INVALID")&gt;0,"",IF(COUNT(BG77:BN77)=0,"",ROUND(AVERAGE(BG77:BN77),6)))</x:f>
      </x:c>
      <x:c r="BP77" t="str">
        <x:f>IF(COUNTIF(BG77:BN77,"INVALID")&gt;0,"INVALID",IF(COUNT(BG77:BN77)=0,"NOT ENTERED",IF(COUNT(BG77:BN77)&lt;7,"LOW COVERAGE","VALID")))</x:f>
        <x:v>NOT ENTERED</x:v>
      </x:c>
      <x:c r="BQ77" t="str">
        <x:f>IF(COUNTA(C77:H77)=0,"NOT ENTERED",IF(OR(COUNT(C77:H77)&lt;&gt;6,MIN(C77:H77)&lt;0,MAX(C77:H77)&gt;100),"INVALID",IF(ABS(SUM(C77:H77)-100)&lt;0.000001,"VALID","CHECK SHARES")))</x:f>
        <x:v>NOT ENTERED</x:v>
      </x:c>
    </x:row>
    <x:row r="78">
      <x:c r="BG78" t="str">
        <x:f>IF(J78="","",IFERROR((5-MATCH(J78,LOOKUPS!$A$2:$A$6,0))*25,"INVALID"))</x:f>
      </x:c>
      <x:c r="BH78" t="str">
        <x:f>IF(Q78="","",IFERROR((5-MATCH(Q78,LOOKUPS!$B$2:$B$6,0))*25,"INVALID"))</x:f>
      </x:c>
      <x:c r="BI78" t="str">
        <x:f>IF(W78="","",IFERROR((5-MATCH(W78,LOOKUPS!$C$2:$C$6,0))*25,"INVALID"))</x:f>
      </x:c>
      <x:c r="BJ78" t="str">
        <x:f>IF(AB78="","",IFERROR((5-MATCH(AB78,LOOKUPS!$D$2:$D$6,0))*25,"INVALID"))</x:f>
      </x:c>
      <x:c r="BK78" t="str">
        <x:f>IF(AF78="","",IFERROR((5-MATCH(AF78,LOOKUPS!$E$2:$E$6,0))*25,"INVALID"))</x:f>
      </x:c>
      <x:c r="BL78" t="str">
        <x:f>IF(AK78="","",IFERROR((5-MATCH(AK78,LOOKUPS!$F$2:$F$6,0))*25,"INVALID"))</x:f>
      </x:c>
      <x:c r="BM78" t="str">
        <x:f>IF(AO78="","",IFERROR((5-MATCH(AO78,LOOKUPS!$G$2:$G$6,0))*25,"INVALID"))</x:f>
      </x:c>
      <x:c r="BN78" t="str">
        <x:f>IF(AV78="","",IF(AV78="We have a full water system in-house (not dependent on any provider)","N/A",IFERROR((5-MATCH(AV78,LOOKUPS!$H$2:$H$7,0))*25,"INVALID")))</x:f>
      </x:c>
      <x:c r="BO78" t="str">
        <x:f>IF(COUNTIF(BG78:BN78,"INVALID")&gt;0,"",IF(COUNT(BG78:BN78)=0,"",ROUND(AVERAGE(BG78:BN78),6)))</x:f>
      </x:c>
      <x:c r="BP78" t="str">
        <x:f>IF(COUNTIF(BG78:BN78,"INVALID")&gt;0,"INVALID",IF(COUNT(BG78:BN78)=0,"NOT ENTERED",IF(COUNT(BG78:BN78)&lt;7,"LOW COVERAGE","VALID")))</x:f>
        <x:v>NOT ENTERED</x:v>
      </x:c>
      <x:c r="BQ78" t="str">
        <x:f>IF(COUNTA(C78:H78)=0,"NOT ENTERED",IF(OR(COUNT(C78:H78)&lt;&gt;6,MIN(C78:H78)&lt;0,MAX(C78:H78)&gt;100),"INVALID",IF(ABS(SUM(C78:H78)-100)&lt;0.000001,"VALID","CHECK SHARES")))</x:f>
        <x:v>NOT ENTERED</x:v>
      </x:c>
    </x:row>
    <x:row r="79">
      <x:c r="BG79" t="str">
        <x:f>IF(J79="","",IFERROR((5-MATCH(J79,LOOKUPS!$A$2:$A$6,0))*25,"INVALID"))</x:f>
      </x:c>
      <x:c r="BH79" t="str">
        <x:f>IF(Q79="","",IFERROR((5-MATCH(Q79,LOOKUPS!$B$2:$B$6,0))*25,"INVALID"))</x:f>
      </x:c>
      <x:c r="BI79" t="str">
        <x:f>IF(W79="","",IFERROR((5-MATCH(W79,LOOKUPS!$C$2:$C$6,0))*25,"INVALID"))</x:f>
      </x:c>
      <x:c r="BJ79" t="str">
        <x:f>IF(AB79="","",IFERROR((5-MATCH(AB79,LOOKUPS!$D$2:$D$6,0))*25,"INVALID"))</x:f>
      </x:c>
      <x:c r="BK79" t="str">
        <x:f>IF(AF79="","",IFERROR((5-MATCH(AF79,LOOKUPS!$E$2:$E$6,0))*25,"INVALID"))</x:f>
      </x:c>
      <x:c r="BL79" t="str">
        <x:f>IF(AK79="","",IFERROR((5-MATCH(AK79,LOOKUPS!$F$2:$F$6,0))*25,"INVALID"))</x:f>
      </x:c>
      <x:c r="BM79" t="str">
        <x:f>IF(AO79="","",IFERROR((5-MATCH(AO79,LOOKUPS!$G$2:$G$6,0))*25,"INVALID"))</x:f>
      </x:c>
      <x:c r="BN79" t="str">
        <x:f>IF(AV79="","",IF(AV79="We have a full water system in-house (not dependent on any provider)","N/A",IFERROR((5-MATCH(AV79,LOOKUPS!$H$2:$H$7,0))*25,"INVALID")))</x:f>
      </x:c>
      <x:c r="BO79" t="str">
        <x:f>IF(COUNTIF(BG79:BN79,"INVALID")&gt;0,"",IF(COUNT(BG79:BN79)=0,"",ROUND(AVERAGE(BG79:BN79),6)))</x:f>
      </x:c>
      <x:c r="BP79" t="str">
        <x:f>IF(COUNTIF(BG79:BN79,"INVALID")&gt;0,"INVALID",IF(COUNT(BG79:BN79)=0,"NOT ENTERED",IF(COUNT(BG79:BN79)&lt;7,"LOW COVERAGE","VALID")))</x:f>
        <x:v>NOT ENTERED</x:v>
      </x:c>
      <x:c r="BQ79" t="str">
        <x:f>IF(COUNTA(C79:H79)=0,"NOT ENTERED",IF(OR(COUNT(C79:H79)&lt;&gt;6,MIN(C79:H79)&lt;0,MAX(C79:H79)&gt;100),"INVALID",IF(ABS(SUM(C79:H79)-100)&lt;0.000001,"VALID","CHECK SHARES")))</x:f>
        <x:v>NOT ENTERED</x:v>
      </x:c>
    </x:row>
    <x:row r="80">
      <x:c r="BG80" t="str">
        <x:f>IF(J80="","",IFERROR((5-MATCH(J80,LOOKUPS!$A$2:$A$6,0))*25,"INVALID"))</x:f>
      </x:c>
      <x:c r="BH80" t="str">
        <x:f>IF(Q80="","",IFERROR((5-MATCH(Q80,LOOKUPS!$B$2:$B$6,0))*25,"INVALID"))</x:f>
      </x:c>
      <x:c r="BI80" t="str">
        <x:f>IF(W80="","",IFERROR((5-MATCH(W80,LOOKUPS!$C$2:$C$6,0))*25,"INVALID"))</x:f>
      </x:c>
      <x:c r="BJ80" t="str">
        <x:f>IF(AB80="","",IFERROR((5-MATCH(AB80,LOOKUPS!$D$2:$D$6,0))*25,"INVALID"))</x:f>
      </x:c>
      <x:c r="BK80" t="str">
        <x:f>IF(AF80="","",IFERROR((5-MATCH(AF80,LOOKUPS!$E$2:$E$6,0))*25,"INVALID"))</x:f>
      </x:c>
      <x:c r="BL80" t="str">
        <x:f>IF(AK80="","",IFERROR((5-MATCH(AK80,LOOKUPS!$F$2:$F$6,0))*25,"INVALID"))</x:f>
      </x:c>
      <x:c r="BM80" t="str">
        <x:f>IF(AO80="","",IFERROR((5-MATCH(AO80,LOOKUPS!$G$2:$G$6,0))*25,"INVALID"))</x:f>
      </x:c>
      <x:c r="BN80" t="str">
        <x:f>IF(AV80="","",IF(AV80="We have a full water system in-house (not dependent on any provider)","N/A",IFERROR((5-MATCH(AV80,LOOKUPS!$H$2:$H$7,0))*25,"INVALID")))</x:f>
      </x:c>
      <x:c r="BO80" t="str">
        <x:f>IF(COUNTIF(BG80:BN80,"INVALID")&gt;0,"",IF(COUNT(BG80:BN80)=0,"",ROUND(AVERAGE(BG80:BN80),6)))</x:f>
      </x:c>
      <x:c r="BP80" t="str">
        <x:f>IF(COUNTIF(BG80:BN80,"INVALID")&gt;0,"INVALID",IF(COUNT(BG80:BN80)=0,"NOT ENTERED",IF(COUNT(BG80:BN80)&lt;7,"LOW COVERAGE","VALID")))</x:f>
        <x:v>NOT ENTERED</x:v>
      </x:c>
      <x:c r="BQ80" t="str">
        <x:f>IF(COUNTA(C80:H80)=0,"NOT ENTERED",IF(OR(COUNT(C80:H80)&lt;&gt;6,MIN(C80:H80)&lt;0,MAX(C80:H80)&gt;100),"INVALID",IF(ABS(SUM(C80:H80)-100)&lt;0.000001,"VALID","CHECK SHARES")))</x:f>
        <x:v>NOT ENTERED</x:v>
      </x:c>
    </x:row>
    <x:row r="81">
      <x:c r="BG81" t="str">
        <x:f>IF(J81="","",IFERROR((5-MATCH(J81,LOOKUPS!$A$2:$A$6,0))*25,"INVALID"))</x:f>
      </x:c>
      <x:c r="BH81" t="str">
        <x:f>IF(Q81="","",IFERROR((5-MATCH(Q81,LOOKUPS!$B$2:$B$6,0))*25,"INVALID"))</x:f>
      </x:c>
      <x:c r="BI81" t="str">
        <x:f>IF(W81="","",IFERROR((5-MATCH(W81,LOOKUPS!$C$2:$C$6,0))*25,"INVALID"))</x:f>
      </x:c>
      <x:c r="BJ81" t="str">
        <x:f>IF(AB81="","",IFERROR((5-MATCH(AB81,LOOKUPS!$D$2:$D$6,0))*25,"INVALID"))</x:f>
      </x:c>
      <x:c r="BK81" t="str">
        <x:f>IF(AF81="","",IFERROR((5-MATCH(AF81,LOOKUPS!$E$2:$E$6,0))*25,"INVALID"))</x:f>
      </x:c>
      <x:c r="BL81" t="str">
        <x:f>IF(AK81="","",IFERROR((5-MATCH(AK81,LOOKUPS!$F$2:$F$6,0))*25,"INVALID"))</x:f>
      </x:c>
      <x:c r="BM81" t="str">
        <x:f>IF(AO81="","",IFERROR((5-MATCH(AO81,LOOKUPS!$G$2:$G$6,0))*25,"INVALID"))</x:f>
      </x:c>
      <x:c r="BN81" t="str">
        <x:f>IF(AV81="","",IF(AV81="We have a full water system in-house (not dependent on any provider)","N/A",IFERROR((5-MATCH(AV81,LOOKUPS!$H$2:$H$7,0))*25,"INVALID")))</x:f>
      </x:c>
      <x:c r="BO81" t="str">
        <x:f>IF(COUNTIF(BG81:BN81,"INVALID")&gt;0,"",IF(COUNT(BG81:BN81)=0,"",ROUND(AVERAGE(BG81:BN81),6)))</x:f>
      </x:c>
      <x:c r="BP81" t="str">
        <x:f>IF(COUNTIF(BG81:BN81,"INVALID")&gt;0,"INVALID",IF(COUNT(BG81:BN81)=0,"NOT ENTERED",IF(COUNT(BG81:BN81)&lt;7,"LOW COVERAGE","VALID")))</x:f>
        <x:v>NOT ENTERED</x:v>
      </x:c>
      <x:c r="BQ81" t="str">
        <x:f>IF(COUNTA(C81:H81)=0,"NOT ENTERED",IF(OR(COUNT(C81:H81)&lt;&gt;6,MIN(C81:H81)&lt;0,MAX(C81:H81)&gt;100),"INVALID",IF(ABS(SUM(C81:H81)-100)&lt;0.000001,"VALID","CHECK SHARES")))</x:f>
        <x:v>NOT ENTERED</x:v>
      </x:c>
    </x:row>
    <x:row r="82">
      <x:c r="BG82" t="str">
        <x:f>IF(J82="","",IFERROR((5-MATCH(J82,LOOKUPS!$A$2:$A$6,0))*25,"INVALID"))</x:f>
      </x:c>
      <x:c r="BH82" t="str">
        <x:f>IF(Q82="","",IFERROR((5-MATCH(Q82,LOOKUPS!$B$2:$B$6,0))*25,"INVALID"))</x:f>
      </x:c>
      <x:c r="BI82" t="str">
        <x:f>IF(W82="","",IFERROR((5-MATCH(W82,LOOKUPS!$C$2:$C$6,0))*25,"INVALID"))</x:f>
      </x:c>
      <x:c r="BJ82" t="str">
        <x:f>IF(AB82="","",IFERROR((5-MATCH(AB82,LOOKUPS!$D$2:$D$6,0))*25,"INVALID"))</x:f>
      </x:c>
      <x:c r="BK82" t="str">
        <x:f>IF(AF82="","",IFERROR((5-MATCH(AF82,LOOKUPS!$E$2:$E$6,0))*25,"INVALID"))</x:f>
      </x:c>
      <x:c r="BL82" t="str">
        <x:f>IF(AK82="","",IFERROR((5-MATCH(AK82,LOOKUPS!$F$2:$F$6,0))*25,"INVALID"))</x:f>
      </x:c>
      <x:c r="BM82" t="str">
        <x:f>IF(AO82="","",IFERROR((5-MATCH(AO82,LOOKUPS!$G$2:$G$6,0))*25,"INVALID"))</x:f>
      </x:c>
      <x:c r="BN82" t="str">
        <x:f>IF(AV82="","",IF(AV82="We have a full water system in-house (not dependent on any provider)","N/A",IFERROR((5-MATCH(AV82,LOOKUPS!$H$2:$H$7,0))*25,"INVALID")))</x:f>
      </x:c>
      <x:c r="BO82" t="str">
        <x:f>IF(COUNTIF(BG82:BN82,"INVALID")&gt;0,"",IF(COUNT(BG82:BN82)=0,"",ROUND(AVERAGE(BG82:BN82),6)))</x:f>
      </x:c>
      <x:c r="BP82" t="str">
        <x:f>IF(COUNTIF(BG82:BN82,"INVALID")&gt;0,"INVALID",IF(COUNT(BG82:BN82)=0,"NOT ENTERED",IF(COUNT(BG82:BN82)&lt;7,"LOW COVERAGE","VALID")))</x:f>
        <x:v>NOT ENTERED</x:v>
      </x:c>
      <x:c r="BQ82" t="str">
        <x:f>IF(COUNTA(C82:H82)=0,"NOT ENTERED",IF(OR(COUNT(C82:H82)&lt;&gt;6,MIN(C82:H82)&lt;0,MAX(C82:H82)&gt;100),"INVALID",IF(ABS(SUM(C82:H82)-100)&lt;0.000001,"VALID","CHECK SHARES")))</x:f>
        <x:v>NOT ENTERED</x:v>
      </x:c>
    </x:row>
    <x:row r="83">
      <x:c r="BG83" t="str">
        <x:f>IF(J83="","",IFERROR((5-MATCH(J83,LOOKUPS!$A$2:$A$6,0))*25,"INVALID"))</x:f>
      </x:c>
      <x:c r="BH83" t="str">
        <x:f>IF(Q83="","",IFERROR((5-MATCH(Q83,LOOKUPS!$B$2:$B$6,0))*25,"INVALID"))</x:f>
      </x:c>
      <x:c r="BI83" t="str">
        <x:f>IF(W83="","",IFERROR((5-MATCH(W83,LOOKUPS!$C$2:$C$6,0))*25,"INVALID"))</x:f>
      </x:c>
      <x:c r="BJ83" t="str">
        <x:f>IF(AB83="","",IFERROR((5-MATCH(AB83,LOOKUPS!$D$2:$D$6,0))*25,"INVALID"))</x:f>
      </x:c>
      <x:c r="BK83" t="str">
        <x:f>IF(AF83="","",IFERROR((5-MATCH(AF83,LOOKUPS!$E$2:$E$6,0))*25,"INVALID"))</x:f>
      </x:c>
      <x:c r="BL83" t="str">
        <x:f>IF(AK83="","",IFERROR((5-MATCH(AK83,LOOKUPS!$F$2:$F$6,0))*25,"INVALID"))</x:f>
      </x:c>
      <x:c r="BM83" t="str">
        <x:f>IF(AO83="","",IFERROR((5-MATCH(AO83,LOOKUPS!$G$2:$G$6,0))*25,"INVALID"))</x:f>
      </x:c>
      <x:c r="BN83" t="str">
        <x:f>IF(AV83="","",IF(AV83="We have a full water system in-house (not dependent on any provider)","N/A",IFERROR((5-MATCH(AV83,LOOKUPS!$H$2:$H$7,0))*25,"INVALID")))</x:f>
      </x:c>
      <x:c r="BO83" t="str">
        <x:f>IF(COUNTIF(BG83:BN83,"INVALID")&gt;0,"",IF(COUNT(BG83:BN83)=0,"",ROUND(AVERAGE(BG83:BN83),6)))</x:f>
      </x:c>
      <x:c r="BP83" t="str">
        <x:f>IF(COUNTIF(BG83:BN83,"INVALID")&gt;0,"INVALID",IF(COUNT(BG83:BN83)=0,"NOT ENTERED",IF(COUNT(BG83:BN83)&lt;7,"LOW COVERAGE","VALID")))</x:f>
        <x:v>NOT ENTERED</x:v>
      </x:c>
      <x:c r="BQ83" t="str">
        <x:f>IF(COUNTA(C83:H83)=0,"NOT ENTERED",IF(OR(COUNT(C83:H83)&lt;&gt;6,MIN(C83:H83)&lt;0,MAX(C83:H83)&gt;100),"INVALID",IF(ABS(SUM(C83:H83)-100)&lt;0.000001,"VALID","CHECK SHARES")))</x:f>
        <x:v>NOT ENTERED</x:v>
      </x:c>
    </x:row>
    <x:row r="84">
      <x:c r="BG84" t="str">
        <x:f>IF(J84="","",IFERROR((5-MATCH(J84,LOOKUPS!$A$2:$A$6,0))*25,"INVALID"))</x:f>
      </x:c>
      <x:c r="BH84" t="str">
        <x:f>IF(Q84="","",IFERROR((5-MATCH(Q84,LOOKUPS!$B$2:$B$6,0))*25,"INVALID"))</x:f>
      </x:c>
      <x:c r="BI84" t="str">
        <x:f>IF(W84="","",IFERROR((5-MATCH(W84,LOOKUPS!$C$2:$C$6,0))*25,"INVALID"))</x:f>
      </x:c>
      <x:c r="BJ84" t="str">
        <x:f>IF(AB84="","",IFERROR((5-MATCH(AB84,LOOKUPS!$D$2:$D$6,0))*25,"INVALID"))</x:f>
      </x:c>
      <x:c r="BK84" t="str">
        <x:f>IF(AF84="","",IFERROR((5-MATCH(AF84,LOOKUPS!$E$2:$E$6,0))*25,"INVALID"))</x:f>
      </x:c>
      <x:c r="BL84" t="str">
        <x:f>IF(AK84="","",IFERROR((5-MATCH(AK84,LOOKUPS!$F$2:$F$6,0))*25,"INVALID"))</x:f>
      </x:c>
      <x:c r="BM84" t="str">
        <x:f>IF(AO84="","",IFERROR((5-MATCH(AO84,LOOKUPS!$G$2:$G$6,0))*25,"INVALID"))</x:f>
      </x:c>
      <x:c r="BN84" t="str">
        <x:f>IF(AV84="","",IF(AV84="We have a full water system in-house (not dependent on any provider)","N/A",IFERROR((5-MATCH(AV84,LOOKUPS!$H$2:$H$7,0))*25,"INVALID")))</x:f>
      </x:c>
      <x:c r="BO84" t="str">
        <x:f>IF(COUNTIF(BG84:BN84,"INVALID")&gt;0,"",IF(COUNT(BG84:BN84)=0,"",ROUND(AVERAGE(BG84:BN84),6)))</x:f>
      </x:c>
      <x:c r="BP84" t="str">
        <x:f>IF(COUNTIF(BG84:BN84,"INVALID")&gt;0,"INVALID",IF(COUNT(BG84:BN84)=0,"NOT ENTERED",IF(COUNT(BG84:BN84)&lt;7,"LOW COVERAGE","VALID")))</x:f>
        <x:v>NOT ENTERED</x:v>
      </x:c>
      <x:c r="BQ84" t="str">
        <x:f>IF(COUNTA(C84:H84)=0,"NOT ENTERED",IF(OR(COUNT(C84:H84)&lt;&gt;6,MIN(C84:H84)&lt;0,MAX(C84:H84)&gt;100),"INVALID",IF(ABS(SUM(C84:H84)-100)&lt;0.000001,"VALID","CHECK SHARES")))</x:f>
        <x:v>NOT ENTERED</x:v>
      </x:c>
    </x:row>
    <x:row r="85">
      <x:c r="BG85" t="str">
        <x:f>IF(J85="","",IFERROR((5-MATCH(J85,LOOKUPS!$A$2:$A$6,0))*25,"INVALID"))</x:f>
      </x:c>
      <x:c r="BH85" t="str">
        <x:f>IF(Q85="","",IFERROR((5-MATCH(Q85,LOOKUPS!$B$2:$B$6,0))*25,"INVALID"))</x:f>
      </x:c>
      <x:c r="BI85" t="str">
        <x:f>IF(W85="","",IFERROR((5-MATCH(W85,LOOKUPS!$C$2:$C$6,0))*25,"INVALID"))</x:f>
      </x:c>
      <x:c r="BJ85" t="str">
        <x:f>IF(AB85="","",IFERROR((5-MATCH(AB85,LOOKUPS!$D$2:$D$6,0))*25,"INVALID"))</x:f>
      </x:c>
      <x:c r="BK85" t="str">
        <x:f>IF(AF85="","",IFERROR((5-MATCH(AF85,LOOKUPS!$E$2:$E$6,0))*25,"INVALID"))</x:f>
      </x:c>
      <x:c r="BL85" t="str">
        <x:f>IF(AK85="","",IFERROR((5-MATCH(AK85,LOOKUPS!$F$2:$F$6,0))*25,"INVALID"))</x:f>
      </x:c>
      <x:c r="BM85" t="str">
        <x:f>IF(AO85="","",IFERROR((5-MATCH(AO85,LOOKUPS!$G$2:$G$6,0))*25,"INVALID"))</x:f>
      </x:c>
      <x:c r="BN85" t="str">
        <x:f>IF(AV85="","",IF(AV85="We have a full water system in-house (not dependent on any provider)","N/A",IFERROR((5-MATCH(AV85,LOOKUPS!$H$2:$H$7,0))*25,"INVALID")))</x:f>
      </x:c>
      <x:c r="BO85" t="str">
        <x:f>IF(COUNTIF(BG85:BN85,"INVALID")&gt;0,"",IF(COUNT(BG85:BN85)=0,"",ROUND(AVERAGE(BG85:BN85),6)))</x:f>
      </x:c>
      <x:c r="BP85" t="str">
        <x:f>IF(COUNTIF(BG85:BN85,"INVALID")&gt;0,"INVALID",IF(COUNT(BG85:BN85)=0,"NOT ENTERED",IF(COUNT(BG85:BN85)&lt;7,"LOW COVERAGE","VALID")))</x:f>
        <x:v>NOT ENTERED</x:v>
      </x:c>
      <x:c r="BQ85" t="str">
        <x:f>IF(COUNTA(C85:H85)=0,"NOT ENTERED",IF(OR(COUNT(C85:H85)&lt;&gt;6,MIN(C85:H85)&lt;0,MAX(C85:H85)&gt;100),"INVALID",IF(ABS(SUM(C85:H85)-100)&lt;0.000001,"VALID","CHECK SHARES")))</x:f>
        <x:v>NOT ENTERED</x:v>
      </x:c>
    </x:row>
    <x:row r="86">
      <x:c r="BG86" t="str">
        <x:f>IF(J86="","",IFERROR((5-MATCH(J86,LOOKUPS!$A$2:$A$6,0))*25,"INVALID"))</x:f>
      </x:c>
      <x:c r="BH86" t="str">
        <x:f>IF(Q86="","",IFERROR((5-MATCH(Q86,LOOKUPS!$B$2:$B$6,0))*25,"INVALID"))</x:f>
      </x:c>
      <x:c r="BI86" t="str">
        <x:f>IF(W86="","",IFERROR((5-MATCH(W86,LOOKUPS!$C$2:$C$6,0))*25,"INVALID"))</x:f>
      </x:c>
      <x:c r="BJ86" t="str">
        <x:f>IF(AB86="","",IFERROR((5-MATCH(AB86,LOOKUPS!$D$2:$D$6,0))*25,"INVALID"))</x:f>
      </x:c>
      <x:c r="BK86" t="str">
        <x:f>IF(AF86="","",IFERROR((5-MATCH(AF86,LOOKUPS!$E$2:$E$6,0))*25,"INVALID"))</x:f>
      </x:c>
      <x:c r="BL86" t="str">
        <x:f>IF(AK86="","",IFERROR((5-MATCH(AK86,LOOKUPS!$F$2:$F$6,0))*25,"INVALID"))</x:f>
      </x:c>
      <x:c r="BM86" t="str">
        <x:f>IF(AO86="","",IFERROR((5-MATCH(AO86,LOOKUPS!$G$2:$G$6,0))*25,"INVALID"))</x:f>
      </x:c>
      <x:c r="BN86" t="str">
        <x:f>IF(AV86="","",IF(AV86="We have a full water system in-house (not dependent on any provider)","N/A",IFERROR((5-MATCH(AV86,LOOKUPS!$H$2:$H$7,0))*25,"INVALID")))</x:f>
      </x:c>
      <x:c r="BO86" t="str">
        <x:f>IF(COUNTIF(BG86:BN86,"INVALID")&gt;0,"",IF(COUNT(BG86:BN86)=0,"",ROUND(AVERAGE(BG86:BN86),6)))</x:f>
      </x:c>
      <x:c r="BP86" t="str">
        <x:f>IF(COUNTIF(BG86:BN86,"INVALID")&gt;0,"INVALID",IF(COUNT(BG86:BN86)=0,"NOT ENTERED",IF(COUNT(BG86:BN86)&lt;7,"LOW COVERAGE","VALID")))</x:f>
        <x:v>NOT ENTERED</x:v>
      </x:c>
      <x:c r="BQ86" t="str">
        <x:f>IF(COUNTA(C86:H86)=0,"NOT ENTERED",IF(OR(COUNT(C86:H86)&lt;&gt;6,MIN(C86:H86)&lt;0,MAX(C86:H86)&gt;100),"INVALID",IF(ABS(SUM(C86:H86)-100)&lt;0.000001,"VALID","CHECK SHARES")))</x:f>
        <x:v>NOT ENTERED</x:v>
      </x:c>
    </x:row>
    <x:row r="87">
      <x:c r="BG87" t="str">
        <x:f>IF(J87="","",IFERROR((5-MATCH(J87,LOOKUPS!$A$2:$A$6,0))*25,"INVALID"))</x:f>
      </x:c>
      <x:c r="BH87" t="str">
        <x:f>IF(Q87="","",IFERROR((5-MATCH(Q87,LOOKUPS!$B$2:$B$6,0))*25,"INVALID"))</x:f>
      </x:c>
      <x:c r="BI87" t="str">
        <x:f>IF(W87="","",IFERROR((5-MATCH(W87,LOOKUPS!$C$2:$C$6,0))*25,"INVALID"))</x:f>
      </x:c>
      <x:c r="BJ87" t="str">
        <x:f>IF(AB87="","",IFERROR((5-MATCH(AB87,LOOKUPS!$D$2:$D$6,0))*25,"INVALID"))</x:f>
      </x:c>
      <x:c r="BK87" t="str">
        <x:f>IF(AF87="","",IFERROR((5-MATCH(AF87,LOOKUPS!$E$2:$E$6,0))*25,"INVALID"))</x:f>
      </x:c>
      <x:c r="BL87" t="str">
        <x:f>IF(AK87="","",IFERROR((5-MATCH(AK87,LOOKUPS!$F$2:$F$6,0))*25,"INVALID"))</x:f>
      </x:c>
      <x:c r="BM87" t="str">
        <x:f>IF(AO87="","",IFERROR((5-MATCH(AO87,LOOKUPS!$G$2:$G$6,0))*25,"INVALID"))</x:f>
      </x:c>
      <x:c r="BN87" t="str">
        <x:f>IF(AV87="","",IF(AV87="We have a full water system in-house (not dependent on any provider)","N/A",IFERROR((5-MATCH(AV87,LOOKUPS!$H$2:$H$7,0))*25,"INVALID")))</x:f>
      </x:c>
      <x:c r="BO87" t="str">
        <x:f>IF(COUNTIF(BG87:BN87,"INVALID")&gt;0,"",IF(COUNT(BG87:BN87)=0,"",ROUND(AVERAGE(BG87:BN87),6)))</x:f>
      </x:c>
      <x:c r="BP87" t="str">
        <x:f>IF(COUNTIF(BG87:BN87,"INVALID")&gt;0,"INVALID",IF(COUNT(BG87:BN87)=0,"NOT ENTERED",IF(COUNT(BG87:BN87)&lt;7,"LOW COVERAGE","VALID")))</x:f>
        <x:v>NOT ENTERED</x:v>
      </x:c>
      <x:c r="BQ87" t="str">
        <x:f>IF(COUNTA(C87:H87)=0,"NOT ENTERED",IF(OR(COUNT(C87:H87)&lt;&gt;6,MIN(C87:H87)&lt;0,MAX(C87:H87)&gt;100),"INVALID",IF(ABS(SUM(C87:H87)-100)&lt;0.000001,"VALID","CHECK SHARES")))</x:f>
        <x:v>NOT ENTERED</x:v>
      </x:c>
    </x:row>
    <x:row r="88">
      <x:c r="BG88" t="str">
        <x:f>IF(J88="","",IFERROR((5-MATCH(J88,LOOKUPS!$A$2:$A$6,0))*25,"INVALID"))</x:f>
      </x:c>
      <x:c r="BH88" t="str">
        <x:f>IF(Q88="","",IFERROR((5-MATCH(Q88,LOOKUPS!$B$2:$B$6,0))*25,"INVALID"))</x:f>
      </x:c>
      <x:c r="BI88" t="str">
        <x:f>IF(W88="","",IFERROR((5-MATCH(W88,LOOKUPS!$C$2:$C$6,0))*25,"INVALID"))</x:f>
      </x:c>
      <x:c r="BJ88" t="str">
        <x:f>IF(AB88="","",IFERROR((5-MATCH(AB88,LOOKUPS!$D$2:$D$6,0))*25,"INVALID"))</x:f>
      </x:c>
      <x:c r="BK88" t="str">
        <x:f>IF(AF88="","",IFERROR((5-MATCH(AF88,LOOKUPS!$E$2:$E$6,0))*25,"INVALID"))</x:f>
      </x:c>
      <x:c r="BL88" t="str">
        <x:f>IF(AK88="","",IFERROR((5-MATCH(AK88,LOOKUPS!$F$2:$F$6,0))*25,"INVALID"))</x:f>
      </x:c>
      <x:c r="BM88" t="str">
        <x:f>IF(AO88="","",IFERROR((5-MATCH(AO88,LOOKUPS!$G$2:$G$6,0))*25,"INVALID"))</x:f>
      </x:c>
      <x:c r="BN88" t="str">
        <x:f>IF(AV88="","",IF(AV88="We have a full water system in-house (not dependent on any provider)","N/A",IFERROR((5-MATCH(AV88,LOOKUPS!$H$2:$H$7,0))*25,"INVALID")))</x:f>
      </x:c>
      <x:c r="BO88" t="str">
        <x:f>IF(COUNTIF(BG88:BN88,"INVALID")&gt;0,"",IF(COUNT(BG88:BN88)=0,"",ROUND(AVERAGE(BG88:BN88),6)))</x:f>
      </x:c>
      <x:c r="BP88" t="str">
        <x:f>IF(COUNTIF(BG88:BN88,"INVALID")&gt;0,"INVALID",IF(COUNT(BG88:BN88)=0,"NOT ENTERED",IF(COUNT(BG88:BN88)&lt;7,"LOW COVERAGE","VALID")))</x:f>
        <x:v>NOT ENTERED</x:v>
      </x:c>
      <x:c r="BQ88" t="str">
        <x:f>IF(COUNTA(C88:H88)=0,"NOT ENTERED",IF(OR(COUNT(C88:H88)&lt;&gt;6,MIN(C88:H88)&lt;0,MAX(C88:H88)&gt;100),"INVALID",IF(ABS(SUM(C88:H88)-100)&lt;0.000001,"VALID","CHECK SHARES")))</x:f>
        <x:v>NOT ENTERED</x:v>
      </x:c>
    </x:row>
    <x:row r="89">
      <x:c r="BG89" t="str">
        <x:f>IF(J89="","",IFERROR((5-MATCH(J89,LOOKUPS!$A$2:$A$6,0))*25,"INVALID"))</x:f>
      </x:c>
      <x:c r="BH89" t="str">
        <x:f>IF(Q89="","",IFERROR((5-MATCH(Q89,LOOKUPS!$B$2:$B$6,0))*25,"INVALID"))</x:f>
      </x:c>
      <x:c r="BI89" t="str">
        <x:f>IF(W89="","",IFERROR((5-MATCH(W89,LOOKUPS!$C$2:$C$6,0))*25,"INVALID"))</x:f>
      </x:c>
      <x:c r="BJ89" t="str">
        <x:f>IF(AB89="","",IFERROR((5-MATCH(AB89,LOOKUPS!$D$2:$D$6,0))*25,"INVALID"))</x:f>
      </x:c>
      <x:c r="BK89" t="str">
        <x:f>IF(AF89="","",IFERROR((5-MATCH(AF89,LOOKUPS!$E$2:$E$6,0))*25,"INVALID"))</x:f>
      </x:c>
      <x:c r="BL89" t="str">
        <x:f>IF(AK89="","",IFERROR((5-MATCH(AK89,LOOKUPS!$F$2:$F$6,0))*25,"INVALID"))</x:f>
      </x:c>
      <x:c r="BM89" t="str">
        <x:f>IF(AO89="","",IFERROR((5-MATCH(AO89,LOOKUPS!$G$2:$G$6,0))*25,"INVALID"))</x:f>
      </x:c>
      <x:c r="BN89" t="str">
        <x:f>IF(AV89="","",IF(AV89="We have a full water system in-house (not dependent on any provider)","N/A",IFERROR((5-MATCH(AV89,LOOKUPS!$H$2:$H$7,0))*25,"INVALID")))</x:f>
      </x:c>
      <x:c r="BO89" t="str">
        <x:f>IF(COUNTIF(BG89:BN89,"INVALID")&gt;0,"",IF(COUNT(BG89:BN89)=0,"",ROUND(AVERAGE(BG89:BN89),6)))</x:f>
      </x:c>
      <x:c r="BP89" t="str">
        <x:f>IF(COUNTIF(BG89:BN89,"INVALID")&gt;0,"INVALID",IF(COUNT(BG89:BN89)=0,"NOT ENTERED",IF(COUNT(BG89:BN89)&lt;7,"LOW COVERAGE","VALID")))</x:f>
        <x:v>NOT ENTERED</x:v>
      </x:c>
      <x:c r="BQ89" t="str">
        <x:f>IF(COUNTA(C89:H89)=0,"NOT ENTERED",IF(OR(COUNT(C89:H89)&lt;&gt;6,MIN(C89:H89)&lt;0,MAX(C89:H89)&gt;100),"INVALID",IF(ABS(SUM(C89:H89)-100)&lt;0.000001,"VALID","CHECK SHARES")))</x:f>
        <x:v>NOT ENTERED</x:v>
      </x:c>
    </x:row>
    <x:row r="90">
      <x:c r="BG90" t="str">
        <x:f>IF(J90="","",IFERROR((5-MATCH(J90,LOOKUPS!$A$2:$A$6,0))*25,"INVALID"))</x:f>
      </x:c>
      <x:c r="BH90" t="str">
        <x:f>IF(Q90="","",IFERROR((5-MATCH(Q90,LOOKUPS!$B$2:$B$6,0))*25,"INVALID"))</x:f>
      </x:c>
      <x:c r="BI90" t="str">
        <x:f>IF(W90="","",IFERROR((5-MATCH(W90,LOOKUPS!$C$2:$C$6,0))*25,"INVALID"))</x:f>
      </x:c>
      <x:c r="BJ90" t="str">
        <x:f>IF(AB90="","",IFERROR((5-MATCH(AB90,LOOKUPS!$D$2:$D$6,0))*25,"INVALID"))</x:f>
      </x:c>
      <x:c r="BK90" t="str">
        <x:f>IF(AF90="","",IFERROR((5-MATCH(AF90,LOOKUPS!$E$2:$E$6,0))*25,"INVALID"))</x:f>
      </x:c>
      <x:c r="BL90" t="str">
        <x:f>IF(AK90="","",IFERROR((5-MATCH(AK90,LOOKUPS!$F$2:$F$6,0))*25,"INVALID"))</x:f>
      </x:c>
      <x:c r="BM90" t="str">
        <x:f>IF(AO90="","",IFERROR((5-MATCH(AO90,LOOKUPS!$G$2:$G$6,0))*25,"INVALID"))</x:f>
      </x:c>
      <x:c r="BN90" t="str">
        <x:f>IF(AV90="","",IF(AV90="We have a full water system in-house (not dependent on any provider)","N/A",IFERROR((5-MATCH(AV90,LOOKUPS!$H$2:$H$7,0))*25,"INVALID")))</x:f>
      </x:c>
      <x:c r="BO90" t="str">
        <x:f>IF(COUNTIF(BG90:BN90,"INVALID")&gt;0,"",IF(COUNT(BG90:BN90)=0,"",ROUND(AVERAGE(BG90:BN90),6)))</x:f>
      </x:c>
      <x:c r="BP90" t="str">
        <x:f>IF(COUNTIF(BG90:BN90,"INVALID")&gt;0,"INVALID",IF(COUNT(BG90:BN90)=0,"NOT ENTERED",IF(COUNT(BG90:BN90)&lt;7,"LOW COVERAGE","VALID")))</x:f>
        <x:v>NOT ENTERED</x:v>
      </x:c>
      <x:c r="BQ90" t="str">
        <x:f>IF(COUNTA(C90:H90)=0,"NOT ENTERED",IF(OR(COUNT(C90:H90)&lt;&gt;6,MIN(C90:H90)&lt;0,MAX(C90:H90)&gt;100),"INVALID",IF(ABS(SUM(C90:H90)-100)&lt;0.000001,"VALID","CHECK SHARES")))</x:f>
        <x:v>NOT ENTERED</x:v>
      </x:c>
    </x:row>
    <x:row r="91">
      <x:c r="BG91" t="str">
        <x:f>IF(J91="","",IFERROR((5-MATCH(J91,LOOKUPS!$A$2:$A$6,0))*25,"INVALID"))</x:f>
      </x:c>
      <x:c r="BH91" t="str">
        <x:f>IF(Q91="","",IFERROR((5-MATCH(Q91,LOOKUPS!$B$2:$B$6,0))*25,"INVALID"))</x:f>
      </x:c>
      <x:c r="BI91" t="str">
        <x:f>IF(W91="","",IFERROR((5-MATCH(W91,LOOKUPS!$C$2:$C$6,0))*25,"INVALID"))</x:f>
      </x:c>
      <x:c r="BJ91" t="str">
        <x:f>IF(AB91="","",IFERROR((5-MATCH(AB91,LOOKUPS!$D$2:$D$6,0))*25,"INVALID"))</x:f>
      </x:c>
      <x:c r="BK91" t="str">
        <x:f>IF(AF91="","",IFERROR((5-MATCH(AF91,LOOKUPS!$E$2:$E$6,0))*25,"INVALID"))</x:f>
      </x:c>
      <x:c r="BL91" t="str">
        <x:f>IF(AK91="","",IFERROR((5-MATCH(AK91,LOOKUPS!$F$2:$F$6,0))*25,"INVALID"))</x:f>
      </x:c>
      <x:c r="BM91" t="str">
        <x:f>IF(AO91="","",IFERROR((5-MATCH(AO91,LOOKUPS!$G$2:$G$6,0))*25,"INVALID"))</x:f>
      </x:c>
      <x:c r="BN91" t="str">
        <x:f>IF(AV91="","",IF(AV91="We have a full water system in-house (not dependent on any provider)","N/A",IFERROR((5-MATCH(AV91,LOOKUPS!$H$2:$H$7,0))*25,"INVALID")))</x:f>
      </x:c>
      <x:c r="BO91" t="str">
        <x:f>IF(COUNTIF(BG91:BN91,"INVALID")&gt;0,"",IF(COUNT(BG91:BN91)=0,"",ROUND(AVERAGE(BG91:BN91),6)))</x:f>
      </x:c>
      <x:c r="BP91" t="str">
        <x:f>IF(COUNTIF(BG91:BN91,"INVALID")&gt;0,"INVALID",IF(COUNT(BG91:BN91)=0,"NOT ENTERED",IF(COUNT(BG91:BN91)&lt;7,"LOW COVERAGE","VALID")))</x:f>
        <x:v>NOT ENTERED</x:v>
      </x:c>
      <x:c r="BQ91" t="str">
        <x:f>IF(COUNTA(C91:H91)=0,"NOT ENTERED",IF(OR(COUNT(C91:H91)&lt;&gt;6,MIN(C91:H91)&lt;0,MAX(C91:H91)&gt;100),"INVALID",IF(ABS(SUM(C91:H91)-100)&lt;0.000001,"VALID","CHECK SHARES")))</x:f>
        <x:v>NOT ENTERED</x:v>
      </x:c>
    </x:row>
    <x:row r="92">
      <x:c r="BG92" t="str">
        <x:f>IF(J92="","",IFERROR((5-MATCH(J92,LOOKUPS!$A$2:$A$6,0))*25,"INVALID"))</x:f>
      </x:c>
      <x:c r="BH92" t="str">
        <x:f>IF(Q92="","",IFERROR((5-MATCH(Q92,LOOKUPS!$B$2:$B$6,0))*25,"INVALID"))</x:f>
      </x:c>
      <x:c r="BI92" t="str">
        <x:f>IF(W92="","",IFERROR((5-MATCH(W92,LOOKUPS!$C$2:$C$6,0))*25,"INVALID"))</x:f>
      </x:c>
      <x:c r="BJ92" t="str">
        <x:f>IF(AB92="","",IFERROR((5-MATCH(AB92,LOOKUPS!$D$2:$D$6,0))*25,"INVALID"))</x:f>
      </x:c>
      <x:c r="BK92" t="str">
        <x:f>IF(AF92="","",IFERROR((5-MATCH(AF92,LOOKUPS!$E$2:$E$6,0))*25,"INVALID"))</x:f>
      </x:c>
      <x:c r="BL92" t="str">
        <x:f>IF(AK92="","",IFERROR((5-MATCH(AK92,LOOKUPS!$F$2:$F$6,0))*25,"INVALID"))</x:f>
      </x:c>
      <x:c r="BM92" t="str">
        <x:f>IF(AO92="","",IFERROR((5-MATCH(AO92,LOOKUPS!$G$2:$G$6,0))*25,"INVALID"))</x:f>
      </x:c>
      <x:c r="BN92" t="str">
        <x:f>IF(AV92="","",IF(AV92="We have a full water system in-house (not dependent on any provider)","N/A",IFERROR((5-MATCH(AV92,LOOKUPS!$H$2:$H$7,0))*25,"INVALID")))</x:f>
      </x:c>
      <x:c r="BO92" t="str">
        <x:f>IF(COUNTIF(BG92:BN92,"INVALID")&gt;0,"",IF(COUNT(BG92:BN92)=0,"",ROUND(AVERAGE(BG92:BN92),6)))</x:f>
      </x:c>
      <x:c r="BP92" t="str">
        <x:f>IF(COUNTIF(BG92:BN92,"INVALID")&gt;0,"INVALID",IF(COUNT(BG92:BN92)=0,"NOT ENTERED",IF(COUNT(BG92:BN92)&lt;7,"LOW COVERAGE","VALID")))</x:f>
        <x:v>NOT ENTERED</x:v>
      </x:c>
      <x:c r="BQ92" t="str">
        <x:f>IF(COUNTA(C92:H92)=0,"NOT ENTERED",IF(OR(COUNT(C92:H92)&lt;&gt;6,MIN(C92:H92)&lt;0,MAX(C92:H92)&gt;100),"INVALID",IF(ABS(SUM(C92:H92)-100)&lt;0.000001,"VALID","CHECK SHARES")))</x:f>
        <x:v>NOT ENTERED</x:v>
      </x:c>
    </x:row>
    <x:row r="93">
      <x:c r="BG93" t="str">
        <x:f>IF(J93="","",IFERROR((5-MATCH(J93,LOOKUPS!$A$2:$A$6,0))*25,"INVALID"))</x:f>
      </x:c>
      <x:c r="BH93" t="str">
        <x:f>IF(Q93="","",IFERROR((5-MATCH(Q93,LOOKUPS!$B$2:$B$6,0))*25,"INVALID"))</x:f>
      </x:c>
      <x:c r="BI93" t="str">
        <x:f>IF(W93="","",IFERROR((5-MATCH(W93,LOOKUPS!$C$2:$C$6,0))*25,"INVALID"))</x:f>
      </x:c>
      <x:c r="BJ93" t="str">
        <x:f>IF(AB93="","",IFERROR((5-MATCH(AB93,LOOKUPS!$D$2:$D$6,0))*25,"INVALID"))</x:f>
      </x:c>
      <x:c r="BK93" t="str">
        <x:f>IF(AF93="","",IFERROR((5-MATCH(AF93,LOOKUPS!$E$2:$E$6,0))*25,"INVALID"))</x:f>
      </x:c>
      <x:c r="BL93" t="str">
        <x:f>IF(AK93="","",IFERROR((5-MATCH(AK93,LOOKUPS!$F$2:$F$6,0))*25,"INVALID"))</x:f>
      </x:c>
      <x:c r="BM93" t="str">
        <x:f>IF(AO93="","",IFERROR((5-MATCH(AO93,LOOKUPS!$G$2:$G$6,0))*25,"INVALID"))</x:f>
      </x:c>
      <x:c r="BN93" t="str">
        <x:f>IF(AV93="","",IF(AV93="We have a full water system in-house (not dependent on any provider)","N/A",IFERROR((5-MATCH(AV93,LOOKUPS!$H$2:$H$7,0))*25,"INVALID")))</x:f>
      </x:c>
      <x:c r="BO93" t="str">
        <x:f>IF(COUNTIF(BG93:BN93,"INVALID")&gt;0,"",IF(COUNT(BG93:BN93)=0,"",ROUND(AVERAGE(BG93:BN93),6)))</x:f>
      </x:c>
      <x:c r="BP93" t="str">
        <x:f>IF(COUNTIF(BG93:BN93,"INVALID")&gt;0,"INVALID",IF(COUNT(BG93:BN93)=0,"NOT ENTERED",IF(COUNT(BG93:BN93)&lt;7,"LOW COVERAGE","VALID")))</x:f>
        <x:v>NOT ENTERED</x:v>
      </x:c>
      <x:c r="BQ93" t="str">
        <x:f>IF(COUNTA(C93:H93)=0,"NOT ENTERED",IF(OR(COUNT(C93:H93)&lt;&gt;6,MIN(C93:H93)&lt;0,MAX(C93:H93)&gt;100),"INVALID",IF(ABS(SUM(C93:H93)-100)&lt;0.000001,"VALID","CHECK SHARES")))</x:f>
        <x:v>NOT ENTERED</x:v>
      </x:c>
    </x:row>
    <x:row r="94">
      <x:c r="BG94" t="str">
        <x:f>IF(J94="","",IFERROR((5-MATCH(J94,LOOKUPS!$A$2:$A$6,0))*25,"INVALID"))</x:f>
      </x:c>
      <x:c r="BH94" t="str">
        <x:f>IF(Q94="","",IFERROR((5-MATCH(Q94,LOOKUPS!$B$2:$B$6,0))*25,"INVALID"))</x:f>
      </x:c>
      <x:c r="BI94" t="str">
        <x:f>IF(W94="","",IFERROR((5-MATCH(W94,LOOKUPS!$C$2:$C$6,0))*25,"INVALID"))</x:f>
      </x:c>
      <x:c r="BJ94" t="str">
        <x:f>IF(AB94="","",IFERROR((5-MATCH(AB94,LOOKUPS!$D$2:$D$6,0))*25,"INVALID"))</x:f>
      </x:c>
      <x:c r="BK94" t="str">
        <x:f>IF(AF94="","",IFERROR((5-MATCH(AF94,LOOKUPS!$E$2:$E$6,0))*25,"INVALID"))</x:f>
      </x:c>
      <x:c r="BL94" t="str">
        <x:f>IF(AK94="","",IFERROR((5-MATCH(AK94,LOOKUPS!$F$2:$F$6,0))*25,"INVALID"))</x:f>
      </x:c>
      <x:c r="BM94" t="str">
        <x:f>IF(AO94="","",IFERROR((5-MATCH(AO94,LOOKUPS!$G$2:$G$6,0))*25,"INVALID"))</x:f>
      </x:c>
      <x:c r="BN94" t="str">
        <x:f>IF(AV94="","",IF(AV94="We have a full water system in-house (not dependent on any provider)","N/A",IFERROR((5-MATCH(AV94,LOOKUPS!$H$2:$H$7,0))*25,"INVALID")))</x:f>
      </x:c>
      <x:c r="BO94" t="str">
        <x:f>IF(COUNTIF(BG94:BN94,"INVALID")&gt;0,"",IF(COUNT(BG94:BN94)=0,"",ROUND(AVERAGE(BG94:BN94),6)))</x:f>
      </x:c>
      <x:c r="BP94" t="str">
        <x:f>IF(COUNTIF(BG94:BN94,"INVALID")&gt;0,"INVALID",IF(COUNT(BG94:BN94)=0,"NOT ENTERED",IF(COUNT(BG94:BN94)&lt;7,"LOW COVERAGE","VALID")))</x:f>
        <x:v>NOT ENTERED</x:v>
      </x:c>
      <x:c r="BQ94" t="str">
        <x:f>IF(COUNTA(C94:H94)=0,"NOT ENTERED",IF(OR(COUNT(C94:H94)&lt;&gt;6,MIN(C94:H94)&lt;0,MAX(C94:H94)&gt;100),"INVALID",IF(ABS(SUM(C94:H94)-100)&lt;0.000001,"VALID","CHECK SHARES")))</x:f>
        <x:v>NOT ENTERED</x:v>
      </x:c>
    </x:row>
    <x:row r="95">
      <x:c r="BG95" t="str">
        <x:f>IF(J95="","",IFERROR((5-MATCH(J95,LOOKUPS!$A$2:$A$6,0))*25,"INVALID"))</x:f>
      </x:c>
      <x:c r="BH95" t="str">
        <x:f>IF(Q95="","",IFERROR((5-MATCH(Q95,LOOKUPS!$B$2:$B$6,0))*25,"INVALID"))</x:f>
      </x:c>
      <x:c r="BI95" t="str">
        <x:f>IF(W95="","",IFERROR((5-MATCH(W95,LOOKUPS!$C$2:$C$6,0))*25,"INVALID"))</x:f>
      </x:c>
      <x:c r="BJ95" t="str">
        <x:f>IF(AB95="","",IFERROR((5-MATCH(AB95,LOOKUPS!$D$2:$D$6,0))*25,"INVALID"))</x:f>
      </x:c>
      <x:c r="BK95" t="str">
        <x:f>IF(AF95="","",IFERROR((5-MATCH(AF95,LOOKUPS!$E$2:$E$6,0))*25,"INVALID"))</x:f>
      </x:c>
      <x:c r="BL95" t="str">
        <x:f>IF(AK95="","",IFERROR((5-MATCH(AK95,LOOKUPS!$F$2:$F$6,0))*25,"INVALID"))</x:f>
      </x:c>
      <x:c r="BM95" t="str">
        <x:f>IF(AO95="","",IFERROR((5-MATCH(AO95,LOOKUPS!$G$2:$G$6,0))*25,"INVALID"))</x:f>
      </x:c>
      <x:c r="BN95" t="str">
        <x:f>IF(AV95="","",IF(AV95="We have a full water system in-house (not dependent on any provider)","N/A",IFERROR((5-MATCH(AV95,LOOKUPS!$H$2:$H$7,0))*25,"INVALID")))</x:f>
      </x:c>
      <x:c r="BO95" t="str">
        <x:f>IF(COUNTIF(BG95:BN95,"INVALID")&gt;0,"",IF(COUNT(BG95:BN95)=0,"",ROUND(AVERAGE(BG95:BN95),6)))</x:f>
      </x:c>
      <x:c r="BP95" t="str">
        <x:f>IF(COUNTIF(BG95:BN95,"INVALID")&gt;0,"INVALID",IF(COUNT(BG95:BN95)=0,"NOT ENTERED",IF(COUNT(BG95:BN95)&lt;7,"LOW COVERAGE","VALID")))</x:f>
        <x:v>NOT ENTERED</x:v>
      </x:c>
      <x:c r="BQ95" t="str">
        <x:f>IF(COUNTA(C95:H95)=0,"NOT ENTERED",IF(OR(COUNT(C95:H95)&lt;&gt;6,MIN(C95:H95)&lt;0,MAX(C95:H95)&gt;100),"INVALID",IF(ABS(SUM(C95:H95)-100)&lt;0.000001,"VALID","CHECK SHARES")))</x:f>
        <x:v>NOT ENTERED</x:v>
      </x:c>
    </x:row>
    <x:row r="96">
      <x:c r="BG96" t="str">
        <x:f>IF(J96="","",IFERROR((5-MATCH(J96,LOOKUPS!$A$2:$A$6,0))*25,"INVALID"))</x:f>
      </x:c>
      <x:c r="BH96" t="str">
        <x:f>IF(Q96="","",IFERROR((5-MATCH(Q96,LOOKUPS!$B$2:$B$6,0))*25,"INVALID"))</x:f>
      </x:c>
      <x:c r="BI96" t="str">
        <x:f>IF(W96="","",IFERROR((5-MATCH(W96,LOOKUPS!$C$2:$C$6,0))*25,"INVALID"))</x:f>
      </x:c>
      <x:c r="BJ96" t="str">
        <x:f>IF(AB96="","",IFERROR((5-MATCH(AB96,LOOKUPS!$D$2:$D$6,0))*25,"INVALID"))</x:f>
      </x:c>
      <x:c r="BK96" t="str">
        <x:f>IF(AF96="","",IFERROR((5-MATCH(AF96,LOOKUPS!$E$2:$E$6,0))*25,"INVALID"))</x:f>
      </x:c>
      <x:c r="BL96" t="str">
        <x:f>IF(AK96="","",IFERROR((5-MATCH(AK96,LOOKUPS!$F$2:$F$6,0))*25,"INVALID"))</x:f>
      </x:c>
      <x:c r="BM96" t="str">
        <x:f>IF(AO96="","",IFERROR((5-MATCH(AO96,LOOKUPS!$G$2:$G$6,0))*25,"INVALID"))</x:f>
      </x:c>
      <x:c r="BN96" t="str">
        <x:f>IF(AV96="","",IF(AV96="We have a full water system in-house (not dependent on any provider)","N/A",IFERROR((5-MATCH(AV96,LOOKUPS!$H$2:$H$7,0))*25,"INVALID")))</x:f>
      </x:c>
      <x:c r="BO96" t="str">
        <x:f>IF(COUNTIF(BG96:BN96,"INVALID")&gt;0,"",IF(COUNT(BG96:BN96)=0,"",ROUND(AVERAGE(BG96:BN96),6)))</x:f>
      </x:c>
      <x:c r="BP96" t="str">
        <x:f>IF(COUNTIF(BG96:BN96,"INVALID")&gt;0,"INVALID",IF(COUNT(BG96:BN96)=0,"NOT ENTERED",IF(COUNT(BG96:BN96)&lt;7,"LOW COVERAGE","VALID")))</x:f>
        <x:v>NOT ENTERED</x:v>
      </x:c>
      <x:c r="BQ96" t="str">
        <x:f>IF(COUNTA(C96:H96)=0,"NOT ENTERED",IF(OR(COUNT(C96:H96)&lt;&gt;6,MIN(C96:H96)&lt;0,MAX(C96:H96)&gt;100),"INVALID",IF(ABS(SUM(C96:H96)-100)&lt;0.000001,"VALID","CHECK SHARES")))</x:f>
        <x:v>NOT ENTERED</x:v>
      </x:c>
    </x:row>
    <x:row r="97">
      <x:c r="BG97" t="str">
        <x:f>IF(J97="","",IFERROR((5-MATCH(J97,LOOKUPS!$A$2:$A$6,0))*25,"INVALID"))</x:f>
      </x:c>
      <x:c r="BH97" t="str">
        <x:f>IF(Q97="","",IFERROR((5-MATCH(Q97,LOOKUPS!$B$2:$B$6,0))*25,"INVALID"))</x:f>
      </x:c>
      <x:c r="BI97" t="str">
        <x:f>IF(W97="","",IFERROR((5-MATCH(W97,LOOKUPS!$C$2:$C$6,0))*25,"INVALID"))</x:f>
      </x:c>
      <x:c r="BJ97" t="str">
        <x:f>IF(AB97="","",IFERROR((5-MATCH(AB97,LOOKUPS!$D$2:$D$6,0))*25,"INVALID"))</x:f>
      </x:c>
      <x:c r="BK97" t="str">
        <x:f>IF(AF97="","",IFERROR((5-MATCH(AF97,LOOKUPS!$E$2:$E$6,0))*25,"INVALID"))</x:f>
      </x:c>
      <x:c r="BL97" t="str">
        <x:f>IF(AK97="","",IFERROR((5-MATCH(AK97,LOOKUPS!$F$2:$F$6,0))*25,"INVALID"))</x:f>
      </x:c>
      <x:c r="BM97" t="str">
        <x:f>IF(AO97="","",IFERROR((5-MATCH(AO97,LOOKUPS!$G$2:$G$6,0))*25,"INVALID"))</x:f>
      </x:c>
      <x:c r="BN97" t="str">
        <x:f>IF(AV97="","",IF(AV97="We have a full water system in-house (not dependent on any provider)","N/A",IFERROR((5-MATCH(AV97,LOOKUPS!$H$2:$H$7,0))*25,"INVALID")))</x:f>
      </x:c>
      <x:c r="BO97" t="str">
        <x:f>IF(COUNTIF(BG97:BN97,"INVALID")&gt;0,"",IF(COUNT(BG97:BN97)=0,"",ROUND(AVERAGE(BG97:BN97),6)))</x:f>
      </x:c>
      <x:c r="BP97" t="str">
        <x:f>IF(COUNTIF(BG97:BN97,"INVALID")&gt;0,"INVALID",IF(COUNT(BG97:BN97)=0,"NOT ENTERED",IF(COUNT(BG97:BN97)&lt;7,"LOW COVERAGE","VALID")))</x:f>
        <x:v>NOT ENTERED</x:v>
      </x:c>
      <x:c r="BQ97" t="str">
        <x:f>IF(COUNTA(C97:H97)=0,"NOT ENTERED",IF(OR(COUNT(C97:H97)&lt;&gt;6,MIN(C97:H97)&lt;0,MAX(C97:H97)&gt;100),"INVALID",IF(ABS(SUM(C97:H97)-100)&lt;0.000001,"VALID","CHECK SHARES")))</x:f>
        <x:v>NOT ENTERED</x:v>
      </x:c>
    </x:row>
    <x:row r="98">
      <x:c r="BG98" t="str">
        <x:f>IF(J98="","",IFERROR((5-MATCH(J98,LOOKUPS!$A$2:$A$6,0))*25,"INVALID"))</x:f>
      </x:c>
      <x:c r="BH98" t="str">
        <x:f>IF(Q98="","",IFERROR((5-MATCH(Q98,LOOKUPS!$B$2:$B$6,0))*25,"INVALID"))</x:f>
      </x:c>
      <x:c r="BI98" t="str">
        <x:f>IF(W98="","",IFERROR((5-MATCH(W98,LOOKUPS!$C$2:$C$6,0))*25,"INVALID"))</x:f>
      </x:c>
      <x:c r="BJ98" t="str">
        <x:f>IF(AB98="","",IFERROR((5-MATCH(AB98,LOOKUPS!$D$2:$D$6,0))*25,"INVALID"))</x:f>
      </x:c>
      <x:c r="BK98" t="str">
        <x:f>IF(AF98="","",IFERROR((5-MATCH(AF98,LOOKUPS!$E$2:$E$6,0))*25,"INVALID"))</x:f>
      </x:c>
      <x:c r="BL98" t="str">
        <x:f>IF(AK98="","",IFERROR((5-MATCH(AK98,LOOKUPS!$F$2:$F$6,0))*25,"INVALID"))</x:f>
      </x:c>
      <x:c r="BM98" t="str">
        <x:f>IF(AO98="","",IFERROR((5-MATCH(AO98,LOOKUPS!$G$2:$G$6,0))*25,"INVALID"))</x:f>
      </x:c>
      <x:c r="BN98" t="str">
        <x:f>IF(AV98="","",IF(AV98="We have a full water system in-house (not dependent on any provider)","N/A",IFERROR((5-MATCH(AV98,LOOKUPS!$H$2:$H$7,0))*25,"INVALID")))</x:f>
      </x:c>
      <x:c r="BO98" t="str">
        <x:f>IF(COUNTIF(BG98:BN98,"INVALID")&gt;0,"",IF(COUNT(BG98:BN98)=0,"",ROUND(AVERAGE(BG98:BN98),6)))</x:f>
      </x:c>
      <x:c r="BP98" t="str">
        <x:f>IF(COUNTIF(BG98:BN98,"INVALID")&gt;0,"INVALID",IF(COUNT(BG98:BN98)=0,"NOT ENTERED",IF(COUNT(BG98:BN98)&lt;7,"LOW COVERAGE","VALID")))</x:f>
        <x:v>NOT ENTERED</x:v>
      </x:c>
      <x:c r="BQ98" t="str">
        <x:f>IF(COUNTA(C98:H98)=0,"NOT ENTERED",IF(OR(COUNT(C98:H98)&lt;&gt;6,MIN(C98:H98)&lt;0,MAX(C98:H98)&gt;100),"INVALID",IF(ABS(SUM(C98:H98)-100)&lt;0.000001,"VALID","CHECK SHARES")))</x:f>
        <x:v>NOT ENTERED</x:v>
      </x:c>
    </x:row>
    <x:row r="99">
      <x:c r="BG99" t="str">
        <x:f>IF(J99="","",IFERROR((5-MATCH(J99,LOOKUPS!$A$2:$A$6,0))*25,"INVALID"))</x:f>
      </x:c>
      <x:c r="BH99" t="str">
        <x:f>IF(Q99="","",IFERROR((5-MATCH(Q99,LOOKUPS!$B$2:$B$6,0))*25,"INVALID"))</x:f>
      </x:c>
      <x:c r="BI99" t="str">
        <x:f>IF(W99="","",IFERROR((5-MATCH(W99,LOOKUPS!$C$2:$C$6,0))*25,"INVALID"))</x:f>
      </x:c>
      <x:c r="BJ99" t="str">
        <x:f>IF(AB99="","",IFERROR((5-MATCH(AB99,LOOKUPS!$D$2:$D$6,0))*25,"INVALID"))</x:f>
      </x:c>
      <x:c r="BK99" t="str">
        <x:f>IF(AF99="","",IFERROR((5-MATCH(AF99,LOOKUPS!$E$2:$E$6,0))*25,"INVALID"))</x:f>
      </x:c>
      <x:c r="BL99" t="str">
        <x:f>IF(AK99="","",IFERROR((5-MATCH(AK99,LOOKUPS!$F$2:$F$6,0))*25,"INVALID"))</x:f>
      </x:c>
      <x:c r="BM99" t="str">
        <x:f>IF(AO99="","",IFERROR((5-MATCH(AO99,LOOKUPS!$G$2:$G$6,0))*25,"INVALID"))</x:f>
      </x:c>
      <x:c r="BN99" t="str">
        <x:f>IF(AV99="","",IF(AV99="We have a full water system in-house (not dependent on any provider)","N/A",IFERROR((5-MATCH(AV99,LOOKUPS!$H$2:$H$7,0))*25,"INVALID")))</x:f>
      </x:c>
      <x:c r="BO99" t="str">
        <x:f>IF(COUNTIF(BG99:BN99,"INVALID")&gt;0,"",IF(COUNT(BG99:BN99)=0,"",ROUND(AVERAGE(BG99:BN99),6)))</x:f>
      </x:c>
      <x:c r="BP99" t="str">
        <x:f>IF(COUNTIF(BG99:BN99,"INVALID")&gt;0,"INVALID",IF(COUNT(BG99:BN99)=0,"NOT ENTERED",IF(COUNT(BG99:BN99)&lt;7,"LOW COVERAGE","VALID")))</x:f>
        <x:v>NOT ENTERED</x:v>
      </x:c>
      <x:c r="BQ99" t="str">
        <x:f>IF(COUNTA(C99:H99)=0,"NOT ENTERED",IF(OR(COUNT(C99:H99)&lt;&gt;6,MIN(C99:H99)&lt;0,MAX(C99:H99)&gt;100),"INVALID",IF(ABS(SUM(C99:H99)-100)&lt;0.000001,"VALID","CHECK SHARES")))</x:f>
        <x:v>NOT ENTERED</x:v>
      </x:c>
    </x:row>
    <x:row r="100">
      <x:c r="BG100" t="str">
        <x:f>IF(J100="","",IFERROR((5-MATCH(J100,LOOKUPS!$A$2:$A$6,0))*25,"INVALID"))</x:f>
      </x:c>
      <x:c r="BH100" t="str">
        <x:f>IF(Q100="","",IFERROR((5-MATCH(Q100,LOOKUPS!$B$2:$B$6,0))*25,"INVALID"))</x:f>
      </x:c>
      <x:c r="BI100" t="str">
        <x:f>IF(W100="","",IFERROR((5-MATCH(W100,LOOKUPS!$C$2:$C$6,0))*25,"INVALID"))</x:f>
      </x:c>
      <x:c r="BJ100" t="str">
        <x:f>IF(AB100="","",IFERROR((5-MATCH(AB100,LOOKUPS!$D$2:$D$6,0))*25,"INVALID"))</x:f>
      </x:c>
      <x:c r="BK100" t="str">
        <x:f>IF(AF100="","",IFERROR((5-MATCH(AF100,LOOKUPS!$E$2:$E$6,0))*25,"INVALID"))</x:f>
      </x:c>
      <x:c r="BL100" t="str">
        <x:f>IF(AK100="","",IFERROR((5-MATCH(AK100,LOOKUPS!$F$2:$F$6,0))*25,"INVALID"))</x:f>
      </x:c>
      <x:c r="BM100" t="str">
        <x:f>IF(AO100="","",IFERROR((5-MATCH(AO100,LOOKUPS!$G$2:$G$6,0))*25,"INVALID"))</x:f>
      </x:c>
      <x:c r="BN100" t="str">
        <x:f>IF(AV100="","",IF(AV100="We have a full water system in-house (not dependent on any provider)","N/A",IFERROR((5-MATCH(AV100,LOOKUPS!$H$2:$H$7,0))*25,"INVALID")))</x:f>
      </x:c>
      <x:c r="BO100" t="str">
        <x:f>IF(COUNTIF(BG100:BN100,"INVALID")&gt;0,"",IF(COUNT(BG100:BN100)=0,"",ROUND(AVERAGE(BG100:BN100),6)))</x:f>
      </x:c>
      <x:c r="BP100" t="str">
        <x:f>IF(COUNTIF(BG100:BN100,"INVALID")&gt;0,"INVALID",IF(COUNT(BG100:BN100)=0,"NOT ENTERED",IF(COUNT(BG100:BN100)&lt;7,"LOW COVERAGE","VALID")))</x:f>
        <x:v>NOT ENTERED</x:v>
      </x:c>
      <x:c r="BQ100" t="str">
        <x:f>IF(COUNTA(C100:H100)=0,"NOT ENTERED",IF(OR(COUNT(C100:H100)&lt;&gt;6,MIN(C100:H100)&lt;0,MAX(C100:H100)&gt;100),"INVALID",IF(ABS(SUM(C100:H100)-100)&lt;0.000001,"VALID","CHECK SHARES")))</x:f>
        <x:v>NOT ENTERED</x:v>
      </x:c>
    </x:row>
    <x:row r="101">
      <x:c r="BG101" t="str">
        <x:f>IF(J101="","",IFERROR((5-MATCH(J101,LOOKUPS!$A$2:$A$6,0))*25,"INVALID"))</x:f>
      </x:c>
      <x:c r="BH101" t="str">
        <x:f>IF(Q101="","",IFERROR((5-MATCH(Q101,LOOKUPS!$B$2:$B$6,0))*25,"INVALID"))</x:f>
      </x:c>
      <x:c r="BI101" t="str">
        <x:f>IF(W101="","",IFERROR((5-MATCH(W101,LOOKUPS!$C$2:$C$6,0))*25,"INVALID"))</x:f>
      </x:c>
      <x:c r="BJ101" t="str">
        <x:f>IF(AB101="","",IFERROR((5-MATCH(AB101,LOOKUPS!$D$2:$D$6,0))*25,"INVALID"))</x:f>
      </x:c>
      <x:c r="BK101" t="str">
        <x:f>IF(AF101="","",IFERROR((5-MATCH(AF101,LOOKUPS!$E$2:$E$6,0))*25,"INVALID"))</x:f>
      </x:c>
      <x:c r="BL101" t="str">
        <x:f>IF(AK101="","",IFERROR((5-MATCH(AK101,LOOKUPS!$F$2:$F$6,0))*25,"INVALID"))</x:f>
      </x:c>
      <x:c r="BM101" t="str">
        <x:f>IF(AO101="","",IFERROR((5-MATCH(AO101,LOOKUPS!$G$2:$G$6,0))*25,"INVALID"))</x:f>
      </x:c>
      <x:c r="BN101" t="str">
        <x:f>IF(AV101="","",IF(AV101="We have a full water system in-house (not dependent on any provider)","N/A",IFERROR((5-MATCH(AV101,LOOKUPS!$H$2:$H$7,0))*25,"INVALID")))</x:f>
      </x:c>
      <x:c r="BO101" t="str">
        <x:f>IF(COUNTIF(BG101:BN101,"INVALID")&gt;0,"",IF(COUNT(BG101:BN101)=0,"",ROUND(AVERAGE(BG101:BN101),6)))</x:f>
      </x:c>
      <x:c r="BP101" t="str">
        <x:f>IF(COUNTIF(BG101:BN101,"INVALID")&gt;0,"INVALID",IF(COUNT(BG101:BN101)=0,"NOT ENTERED",IF(COUNT(BG101:BN101)&lt;7,"LOW COVERAGE","VALID")))</x:f>
        <x:v>NOT ENTERED</x:v>
      </x:c>
      <x:c r="BQ101" t="str">
        <x:f>IF(COUNTA(C101:H101)=0,"NOT ENTERED",IF(OR(COUNT(C101:H101)&lt;&gt;6,MIN(C101:H101)&lt;0,MAX(C101:H101)&gt;100),"INVALID",IF(ABS(SUM(C101:H101)-100)&lt;0.000001,"VALID","CHECK SHARES")))</x:f>
        <x:v>NOT ENTERED</x:v>
      </x:c>
    </x:row>
    <x:row r="102">
      <x:c r="BG102" t="str">
        <x:f>IF(J102="","",IFERROR((5-MATCH(J102,LOOKUPS!$A$2:$A$6,0))*25,"INVALID"))</x:f>
      </x:c>
      <x:c r="BH102" t="str">
        <x:f>IF(Q102="","",IFERROR((5-MATCH(Q102,LOOKUPS!$B$2:$B$6,0))*25,"INVALID"))</x:f>
      </x:c>
      <x:c r="BI102" t="str">
        <x:f>IF(W102="","",IFERROR((5-MATCH(W102,LOOKUPS!$C$2:$C$6,0))*25,"INVALID"))</x:f>
      </x:c>
      <x:c r="BJ102" t="str">
        <x:f>IF(AB102="","",IFERROR((5-MATCH(AB102,LOOKUPS!$D$2:$D$6,0))*25,"INVALID"))</x:f>
      </x:c>
      <x:c r="BK102" t="str">
        <x:f>IF(AF102="","",IFERROR((5-MATCH(AF102,LOOKUPS!$E$2:$E$6,0))*25,"INVALID"))</x:f>
      </x:c>
      <x:c r="BL102" t="str">
        <x:f>IF(AK102="","",IFERROR((5-MATCH(AK102,LOOKUPS!$F$2:$F$6,0))*25,"INVALID"))</x:f>
      </x:c>
      <x:c r="BM102" t="str">
        <x:f>IF(AO102="","",IFERROR((5-MATCH(AO102,LOOKUPS!$G$2:$G$6,0))*25,"INVALID"))</x:f>
      </x:c>
      <x:c r="BN102" t="str">
        <x:f>IF(AV102="","",IF(AV102="We have a full water system in-house (not dependent on any provider)","N/A",IFERROR((5-MATCH(AV102,LOOKUPS!$H$2:$H$7,0))*25,"INVALID")))</x:f>
      </x:c>
      <x:c r="BO102" t="str">
        <x:f>IF(COUNTIF(BG102:BN102,"INVALID")&gt;0,"",IF(COUNT(BG102:BN102)=0,"",ROUND(AVERAGE(BG102:BN102),6)))</x:f>
      </x:c>
      <x:c r="BP102" t="str">
        <x:f>IF(COUNTIF(BG102:BN102,"INVALID")&gt;0,"INVALID",IF(COUNT(BG102:BN102)=0,"NOT ENTERED",IF(COUNT(BG102:BN102)&lt;7,"LOW COVERAGE","VALID")))</x:f>
        <x:v>NOT ENTERED</x:v>
      </x:c>
      <x:c r="BQ102" t="str">
        <x:f>IF(COUNTA(C102:H102)=0,"NOT ENTERED",IF(OR(COUNT(C102:H102)&lt;&gt;6,MIN(C102:H102)&lt;0,MAX(C102:H102)&gt;100),"INVALID",IF(ABS(SUM(C102:H102)-100)&lt;0.000001,"VALID","CHECK SHARES")))</x:f>
        <x:v>NOT ENTERED</x:v>
      </x:c>
    </x:row>
    <x:row r="103">
      <x:c r="BG103" t="str">
        <x:f>IF(J103="","",IFERROR((5-MATCH(J103,LOOKUPS!$A$2:$A$6,0))*25,"INVALID"))</x:f>
      </x:c>
      <x:c r="BH103" t="str">
        <x:f>IF(Q103="","",IFERROR((5-MATCH(Q103,LOOKUPS!$B$2:$B$6,0))*25,"INVALID"))</x:f>
      </x:c>
      <x:c r="BI103" t="str">
        <x:f>IF(W103="","",IFERROR((5-MATCH(W103,LOOKUPS!$C$2:$C$6,0))*25,"INVALID"))</x:f>
      </x:c>
      <x:c r="BJ103" t="str">
        <x:f>IF(AB103="","",IFERROR((5-MATCH(AB103,LOOKUPS!$D$2:$D$6,0))*25,"INVALID"))</x:f>
      </x:c>
      <x:c r="BK103" t="str">
        <x:f>IF(AF103="","",IFERROR((5-MATCH(AF103,LOOKUPS!$E$2:$E$6,0))*25,"INVALID"))</x:f>
      </x:c>
      <x:c r="BL103" t="str">
        <x:f>IF(AK103="","",IFERROR((5-MATCH(AK103,LOOKUPS!$F$2:$F$6,0))*25,"INVALID"))</x:f>
      </x:c>
      <x:c r="BM103" t="str">
        <x:f>IF(AO103="","",IFERROR((5-MATCH(AO103,LOOKUPS!$G$2:$G$6,0))*25,"INVALID"))</x:f>
      </x:c>
      <x:c r="BN103" t="str">
        <x:f>IF(AV103="","",IF(AV103="We have a full water system in-house (not dependent on any provider)","N/A",IFERROR((5-MATCH(AV103,LOOKUPS!$H$2:$H$7,0))*25,"INVALID")))</x:f>
      </x:c>
      <x:c r="BO103" t="str">
        <x:f>IF(COUNTIF(BG103:BN103,"INVALID")&gt;0,"",IF(COUNT(BG103:BN103)=0,"",ROUND(AVERAGE(BG103:BN103),6)))</x:f>
      </x:c>
      <x:c r="BP103" t="str">
        <x:f>IF(COUNTIF(BG103:BN103,"INVALID")&gt;0,"INVALID",IF(COUNT(BG103:BN103)=0,"NOT ENTERED",IF(COUNT(BG103:BN103)&lt;7,"LOW COVERAGE","VALID")))</x:f>
        <x:v>NOT ENTERED</x:v>
      </x:c>
      <x:c r="BQ103" t="str">
        <x:f>IF(COUNTA(C103:H103)=0,"NOT ENTERED",IF(OR(COUNT(C103:H103)&lt;&gt;6,MIN(C103:H103)&lt;0,MAX(C103:H103)&gt;100),"INVALID",IF(ABS(SUM(C103:H103)-100)&lt;0.000001,"VALID","CHECK SHARES")))</x:f>
        <x:v>NOT ENTERED</x:v>
      </x:c>
    </x:row>
    <x:row r="104">
      <x:c r="BG104" t="str">
        <x:f>IF(J104="","",IFERROR((5-MATCH(J104,LOOKUPS!$A$2:$A$6,0))*25,"INVALID"))</x:f>
      </x:c>
      <x:c r="BH104" t="str">
        <x:f>IF(Q104="","",IFERROR((5-MATCH(Q104,LOOKUPS!$B$2:$B$6,0))*25,"INVALID"))</x:f>
      </x:c>
      <x:c r="BI104" t="str">
        <x:f>IF(W104="","",IFERROR((5-MATCH(W104,LOOKUPS!$C$2:$C$6,0))*25,"INVALID"))</x:f>
      </x:c>
      <x:c r="BJ104" t="str">
        <x:f>IF(AB104="","",IFERROR((5-MATCH(AB104,LOOKUPS!$D$2:$D$6,0))*25,"INVALID"))</x:f>
      </x:c>
      <x:c r="BK104" t="str">
        <x:f>IF(AF104="","",IFERROR((5-MATCH(AF104,LOOKUPS!$E$2:$E$6,0))*25,"INVALID"))</x:f>
      </x:c>
      <x:c r="BL104" t="str">
        <x:f>IF(AK104="","",IFERROR((5-MATCH(AK104,LOOKUPS!$F$2:$F$6,0))*25,"INVALID"))</x:f>
      </x:c>
      <x:c r="BM104" t="str">
        <x:f>IF(AO104="","",IFERROR((5-MATCH(AO104,LOOKUPS!$G$2:$G$6,0))*25,"INVALID"))</x:f>
      </x:c>
      <x:c r="BN104" t="str">
        <x:f>IF(AV104="","",IF(AV104="We have a full water system in-house (not dependent on any provider)","N/A",IFERROR((5-MATCH(AV104,LOOKUPS!$H$2:$H$7,0))*25,"INVALID")))</x:f>
      </x:c>
      <x:c r="BO104" t="str">
        <x:f>IF(COUNTIF(BG104:BN104,"INVALID")&gt;0,"",IF(COUNT(BG104:BN104)=0,"",ROUND(AVERAGE(BG104:BN104),6)))</x:f>
      </x:c>
      <x:c r="BP104" t="str">
        <x:f>IF(COUNTIF(BG104:BN104,"INVALID")&gt;0,"INVALID",IF(COUNT(BG104:BN104)=0,"NOT ENTERED",IF(COUNT(BG104:BN104)&lt;7,"LOW COVERAGE","VALID")))</x:f>
        <x:v>NOT ENTERED</x:v>
      </x:c>
      <x:c r="BQ104" t="str">
        <x:f>IF(COUNTA(C104:H104)=0,"NOT ENTERED",IF(OR(COUNT(C104:H104)&lt;&gt;6,MIN(C104:H104)&lt;0,MAX(C104:H104)&gt;100),"INVALID",IF(ABS(SUM(C104:H104)-100)&lt;0.000001,"VALID","CHECK SHARES")))</x:f>
        <x:v>NOT ENTERED</x:v>
      </x:c>
    </x:row>
  </x:sheetData>
  <x:dataValidations count="55">
    <x:dataValidation type="list" allowBlank="1" showErrorMessage="1" errorTitle="Invalid response" error="Enter a permitted response." sqref="B5:B104">
      <x:formula1>CHOICE_R_Q1_1</x:formula1>
    </x:dataValidation>
    <x:dataValidation type="decimal" operator="between" allowBlank="1" showErrorMessage="1" errorTitle="Invalid response" error="Enter a permitted response." sqref="C5:C104">
      <x:formula1>0</x:formula1>
      <x:formula2>100</x:formula2>
    </x:dataValidation>
    <x:dataValidation type="decimal" operator="between" allowBlank="1" showErrorMessage="1" errorTitle="Invalid response" error="Enter a permitted response." sqref="D5:D104">
      <x:formula1>0</x:formula1>
      <x:formula2>100</x:formula2>
    </x:dataValidation>
    <x:dataValidation type="decimal" operator="between" allowBlank="1" showErrorMessage="1" errorTitle="Invalid response" error="Enter a permitted response." sqref="E5:E104">
      <x:formula1>0</x:formula1>
      <x:formula2>100</x:formula2>
    </x:dataValidation>
    <x:dataValidation type="decimal" operator="between" allowBlank="1" showErrorMessage="1" errorTitle="Invalid response" error="Enter a permitted response." sqref="F5:F104">
      <x:formula1>0</x:formula1>
      <x:formula2>100</x:formula2>
    </x:dataValidation>
    <x:dataValidation type="decimal" operator="between" allowBlank="1" showErrorMessage="1" errorTitle="Invalid response" error="Enter a permitted response." sqref="G5:G104">
      <x:formula1>0</x:formula1>
      <x:formula2>100</x:formula2>
    </x:dataValidation>
    <x:dataValidation type="decimal" operator="between" allowBlank="1" showErrorMessage="1" errorTitle="Invalid response" error="Enter a permitted response." sqref="H5:H104">
      <x:formula1>0</x:formula1>
      <x:formula2>100</x:formula2>
    </x:dataValidation>
    <x:dataValidation type="list" allowBlank="1" showErrorMessage="1" errorTitle="Invalid response" error="Enter a permitted response." sqref="I5:I104">
      <x:formula1>CHOICE_R_Q1_3</x:formula1>
    </x:dataValidation>
    <x:dataValidation type="list" allowBlank="1" showErrorMessage="1" errorTitle="Invalid response" error="Enter a permitted response." sqref="J5:J104">
      <x:formula1>CHOICE_R_Q2_2</x:formula1>
    </x:dataValidation>
    <x:dataValidation type="decimal" operator="between" allowBlank="1" showErrorMessage="1" errorTitle="Invalid response" error="Enter a permitted response." sqref="K5:K104">
      <x:formula1>0</x:formula1>
      <x:formula2>1000000000000000</x:formula2>
    </x:dataValidation>
    <x:dataValidation type="list" allowBlank="1" showErrorMessage="1" errorTitle="Invalid response" error="Enter a permitted response." sqref="M5:M104">
      <x:formula1>CHOICE_R_Q2_3_STATUS</x:formula1>
    </x:dataValidation>
    <x:dataValidation type="list" allowBlank="1" showErrorMessage="1" errorTitle="Invalid response" error="Enter a permitted response." sqref="N5:N104">
      <x:formula1>CHOICE_R_Q2_5</x:formula1>
    </x:dataValidation>
    <x:dataValidation type="list" allowBlank="1" showErrorMessage="1" errorTitle="Invalid response" error="Enter a permitted response." sqref="O5:O104">
      <x:formula1>CHOICE_R_Q2_8</x:formula1>
    </x:dataValidation>
    <x:dataValidation type="whole" operator="between" allowBlank="1" showErrorMessage="1" errorTitle="Invalid response" error="Enter a permitted response." sqref="P5:P104">
      <x:formula1>0</x:formula1>
      <x:formula2>10</x:formula2>
    </x:dataValidation>
    <x:dataValidation type="list" allowBlank="1" showErrorMessage="1" errorTitle="Invalid response" error="Enter a permitted response." sqref="Q5:Q104">
      <x:formula1>CHOICE_R_Q3_1</x:formula1>
    </x:dataValidation>
    <x:dataValidation type="list" allowBlank="1" showErrorMessage="1" errorTitle="Invalid response" error="Enter a permitted response." sqref="R5:R104">
      <x:formula1>CHOICE_R_Q3_2</x:formula1>
    </x:dataValidation>
    <x:dataValidation type="list" allowBlank="1" showErrorMessage="1" errorTitle="Invalid response" error="Enter a permitted response." sqref="S5:S104">
      <x:formula1>CHOICE_R_Q3_3</x:formula1>
    </x:dataValidation>
    <x:dataValidation type="list" allowBlank="1" showErrorMessage="1" errorTitle="Invalid response" error="Enter a permitted response." sqref="T5:T104">
      <x:formula1>CHOICE_R_Q3_5</x:formula1>
    </x:dataValidation>
    <x:dataValidation type="list" allowBlank="1" showErrorMessage="1" errorTitle="Invalid response" error="Enter a permitted response." sqref="U5:U104">
      <x:formula1>CHOICE_R_Q3_6</x:formula1>
    </x:dataValidation>
    <x:dataValidation type="whole" operator="between" allowBlank="1" showErrorMessage="1" errorTitle="Invalid response" error="Enter a permitted response." sqref="V5:V104">
      <x:formula1>0</x:formula1>
      <x:formula2>10</x:formula2>
    </x:dataValidation>
    <x:dataValidation type="list" allowBlank="1" showErrorMessage="1" errorTitle="Invalid response" error="Enter a permitted response." sqref="W5:W104">
      <x:formula1>CHOICE_R_Q4_1</x:formula1>
    </x:dataValidation>
    <x:dataValidation type="list" allowBlank="1" showErrorMessage="1" errorTitle="Invalid response" error="Enter a permitted response." sqref="X5:X104">
      <x:formula1>CHOICE_R_Q4_2</x:formula1>
    </x:dataValidation>
    <x:dataValidation type="list" allowBlank="1" showErrorMessage="1" errorTitle="Invalid response" error="Enter a permitted response." sqref="Y5:Y104">
      <x:formula1>CHOICE_R_Q4_3</x:formula1>
    </x:dataValidation>
    <x:dataValidation type="list" allowBlank="1" showErrorMessage="1" errorTitle="Invalid response" error="Enter a permitted response." sqref="Z5:Z104">
      <x:formula1>CHOICE_R_Q4_4</x:formula1>
    </x:dataValidation>
    <x:dataValidation type="whole" operator="between" allowBlank="1" showErrorMessage="1" errorTitle="Invalid response" error="Enter a permitted response." sqref="AA5:AA104">
      <x:formula1>0</x:formula1>
      <x:formula2>10</x:formula2>
    </x:dataValidation>
    <x:dataValidation type="list" allowBlank="1" showErrorMessage="1" errorTitle="Invalid response" error="Enter a permitted response." sqref="AB5:AB104">
      <x:formula1>CHOICE_R_Q5_1</x:formula1>
    </x:dataValidation>
    <x:dataValidation type="list" allowBlank="1" showErrorMessage="1" errorTitle="Invalid response" error="Enter a permitted response." sqref="AC5:AC104">
      <x:formula1>CHOICE_R_Q5_2</x:formula1>
    </x:dataValidation>
    <x:dataValidation type="list" allowBlank="1" showErrorMessage="1" errorTitle="Invalid response" error="Enter a permitted response." sqref="AD5:AD104">
      <x:formula1>CHOICE_R_Q5_3</x:formula1>
    </x:dataValidation>
    <x:dataValidation type="whole" operator="between" allowBlank="1" showErrorMessage="1" errorTitle="Invalid response" error="Enter a permitted response." sqref="AE5:AE104">
      <x:formula1>0</x:formula1>
      <x:formula2>10</x:formula2>
    </x:dataValidation>
    <x:dataValidation type="list" allowBlank="1" showErrorMessage="1" errorTitle="Invalid response" error="Enter a permitted response." sqref="AF5:AF104">
      <x:formula1>CHOICE_R_Q6_1</x:formula1>
    </x:dataValidation>
    <x:dataValidation type="list" allowBlank="1" showErrorMessage="1" errorTitle="Invalid response" error="Enter a permitted response." sqref="AG5:AG104">
      <x:formula1>CHOICE_R_Q6_2</x:formula1>
    </x:dataValidation>
    <x:dataValidation type="list" allowBlank="1" showErrorMessage="1" errorTitle="Invalid response" error="Enter a permitted response." sqref="AH5:AH104">
      <x:formula1>CHOICE_R_Q6_3</x:formula1>
    </x:dataValidation>
    <x:dataValidation type="list" allowBlank="1" showErrorMessage="1" errorTitle="Invalid response" error="Enter a permitted response." sqref="AI5:AI104">
      <x:formula1>CHOICE_R_Q6_4</x:formula1>
    </x:dataValidation>
    <x:dataValidation type="whole" operator="between" allowBlank="1" showErrorMessage="1" errorTitle="Invalid response" error="Enter a permitted response." sqref="AJ5:AJ104">
      <x:formula1>0</x:formula1>
      <x:formula2>10</x:formula2>
    </x:dataValidation>
    <x:dataValidation type="list" allowBlank="1" showErrorMessage="1" errorTitle="Invalid response" error="Enter a permitted response." sqref="AK5:AK104">
      <x:formula1>CHOICE_R_Q7_1</x:formula1>
    </x:dataValidation>
    <x:dataValidation type="list" allowBlank="1" showErrorMessage="1" errorTitle="Invalid response" error="Enter a permitted response." sqref="AL5:AL104">
      <x:formula1>CHOICE_R_Q7_3</x:formula1>
    </x:dataValidation>
    <x:dataValidation type="list" allowBlank="1" showErrorMessage="1" errorTitle="Invalid response" error="Enter a permitted response." sqref="AM5:AM104">
      <x:formula1>CHOICE_R_Q7_4</x:formula1>
    </x:dataValidation>
    <x:dataValidation type="whole" operator="between" allowBlank="1" showErrorMessage="1" errorTitle="Invalid response" error="Enter a permitted response." sqref="AN5:AN104">
      <x:formula1>0</x:formula1>
      <x:formula2>10</x:formula2>
    </x:dataValidation>
    <x:dataValidation type="list" allowBlank="1" showErrorMessage="1" errorTitle="Invalid response" error="Enter a permitted response." sqref="AO5:AO104">
      <x:formula1>CHOICE_R_Q8_1</x:formula1>
    </x:dataValidation>
    <x:dataValidation type="decimal" operator="between" allowBlank="1" showErrorMessage="1" errorTitle="Invalid response" error="Enter a permitted response." sqref="AP5:AP104">
      <x:formula1>0</x:formula1>
      <x:formula2>1000000000000000</x:formula2>
    </x:dataValidation>
    <x:dataValidation type="list" allowBlank="1" showErrorMessage="1" errorTitle="Invalid response" error="Enter a permitted response." sqref="AQ5:AQ104">
      <x:formula1>CHOICE_R_Q8_2_UNIT</x:formula1>
    </x:dataValidation>
    <x:dataValidation type="list" allowBlank="1" showErrorMessage="1" errorTitle="Invalid response" error="Enter a permitted response." sqref="AR5:AR104">
      <x:formula1>CHOICE_R_Q8_2_STATUS</x:formula1>
    </x:dataValidation>
    <x:dataValidation type="list" allowBlank="1" showErrorMessage="1" errorTitle="Invalid response" error="Enter a permitted response." sqref="AS5:AS104">
      <x:formula1>CHOICE_R_Q8_3</x:formula1>
    </x:dataValidation>
    <x:dataValidation type="list" allowBlank="1" showErrorMessage="1" errorTitle="Invalid response" error="Enter a permitted response." sqref="AT5:AT104">
      <x:formula1>CHOICE_R_Q8_4</x:formula1>
    </x:dataValidation>
    <x:dataValidation type="whole" operator="between" allowBlank="1" showErrorMessage="1" errorTitle="Invalid response" error="Enter a permitted response." sqref="AU5:AU104">
      <x:formula1>0</x:formula1>
      <x:formula2>10</x:formula2>
    </x:dataValidation>
    <x:dataValidation type="list" allowBlank="1" showErrorMessage="1" errorTitle="Invalid response" error="Enter a permitted response." sqref="AV5:AV104">
      <x:formula1>CHOICE_R_Q9_1</x:formula1>
    </x:dataValidation>
    <x:dataValidation type="list" allowBlank="1" showErrorMessage="1" errorTitle="Invalid response" error="Enter a permitted response." sqref="AW5:AW104">
      <x:formula1>CHOICE_R_Q9_2</x:formula1>
    </x:dataValidation>
    <x:dataValidation type="list" allowBlank="1" showErrorMessage="1" errorTitle="Invalid response" error="Enter a permitted response." sqref="AX5:AX104">
      <x:formula1>CHOICE_R_Q9_4</x:formula1>
    </x:dataValidation>
    <x:dataValidation type="whole" operator="between" allowBlank="1" showErrorMessage="1" errorTitle="Invalid response" error="Enter a permitted response." sqref="AY5:AY104">
      <x:formula1>0</x:formula1>
      <x:formula2>10</x:formula2>
    </x:dataValidation>
    <x:dataValidation type="list" allowBlank="1" showErrorMessage="1" errorTitle="Invalid response" error="Enter a permitted response." sqref="AZ5:AZ104">
      <x:formula1>CHOICE_R_Q15_10</x:formula1>
    </x:dataValidation>
    <x:dataValidation type="list" allowBlank="1" showErrorMessage="1" errorTitle="Invalid response" error="Enter a permitted response." sqref="BA5:BA104">
      <x:formula1>CHOICE_R_Q15_14</x:formula1>
    </x:dataValidation>
    <x:dataValidation type="list" allowBlank="1" showErrorMessage="1" errorTitle="Invalid response" error="Enter a permitted response." sqref="BB5:BB104">
      <x:formula1>CHOICE_R_Q15_2</x:formula1>
    </x:dataValidation>
    <x:dataValidation type="whole" operator="between" allowBlank="1" showErrorMessage="1" errorTitle="Invalid response" error="Enter a permitted response." sqref="BC5:BC104">
      <x:formula1>0</x:formula1>
      <x:formula2>110</x:formula2>
    </x:dataValidation>
    <x:dataValidation type="decimal" operator="between" allowBlank="1" showErrorMessage="1" errorTitle="Invalid response" error="Enter a permitted response." sqref="BD5:BD104">
      <x:formula1>0</x:formula1>
      <x:formula2>1000000000000000</x:formula2>
    </x:dataValidation>
    <x:dataValidation type="list" allowBlank="1" showErrorMessage="1" errorTitle="Invalid response" error="Enter a permitted response." sqref="BF5:BF104">
      <x:formula1>CHOICE_R_Q15_17_STATUS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18" customWidth="1"/>
    <x:col min="2" max="2" width="21" customWidth="1"/>
    <x:col min="3" max="3" width="70" customWidth="1"/>
    <x:col min="4" max="4" width="15" customWidth="1"/>
    <x:col min="5" max="5" width="20" customWidth="1"/>
  </x:cols>
  <x:sheetData>
    <x:row r="1">
      <x:c r="A1" s="3" t="inlineStr">
        <x:is>
          <x:t xml:space="preserve">Question ID</x:t>
        </x:is>
      </x:c>
      <x:c r="B1" s="3" t="inlineStr">
        <x:is>
          <x:t xml:space="preserve">Domain</x:t>
        </x:is>
      </x:c>
      <x:c r="C1" s="3" t="inlineStr">
        <x:is>
          <x:t xml:space="preserve">Response</x:t>
        </x:is>
      </x:c>
      <x:c r="D1" s="3" t="inlineStr">
        <x:is>
          <x:t xml:space="preserve">Severity</x:t>
        </x:is>
      </x:c>
      <x:c r="E1" s="3" t="inlineStr">
        <x:is>
          <x:t xml:space="preserve">Domain score</x:t>
        </x:is>
      </x:c>
    </x:row>
    <x:row r="2">
      <x:c r="A2" t="inlineStr">
        <x:is>
          <x:t xml:space="preserve">Q2.2</x:t>
        </x:is>
      </x:c>
      <x:c r="B2" t="inlineStr">
        <x:is>
          <x:t xml:space="preserve">Affordability</x:t>
        </x:is>
      </x:c>
      <x:c r="C2" t="inlineStr">
        <x:is>
          <x:t xml:space="preserve">Somewhat affordable</x:t>
        </x:is>
      </x:c>
      <x:c r="D2">
        <x:v>2</x:v>
      </x:c>
      <x:c r="E2">
        <x:v>75</x:v>
      </x:c>
    </x:row>
    <x:row r="3">
      <x:c r="A3" t="inlineStr">
        <x:is>
          <x:t xml:space="preserve">Q2.2</x:t>
        </x:is>
      </x:c>
      <x:c r="B3" t="inlineStr">
        <x:is>
          <x:t xml:space="preserve">Affordability</x:t>
        </x:is>
      </x:c>
      <x:c r="C3" t="inlineStr">
        <x:is>
          <x:t xml:space="preserve">Neutral</x:t>
        </x:is>
      </x:c>
      <x:c r="D3">
        <x:v>3</x:v>
      </x:c>
      <x:c r="E3">
        <x:v>50</x:v>
      </x:c>
    </x:row>
    <x:row r="4">
      <x:c r="A4" t="inlineStr">
        <x:is>
          <x:t xml:space="preserve">Q2.2</x:t>
        </x:is>
      </x:c>
      <x:c r="B4" t="inlineStr">
        <x:is>
          <x:t xml:space="preserve">Affordability</x:t>
        </x:is>
      </x:c>
      <x:c r="C4" t="inlineStr">
        <x:is>
          <x:t xml:space="preserve">Very affordable</x:t>
        </x:is>
      </x:c>
      <x:c r="D4">
        <x:v>1</x:v>
      </x:c>
      <x:c r="E4">
        <x:v>100</x:v>
      </x:c>
    </x:row>
    <x:row r="5">
      <x:c r="A5" t="inlineStr">
        <x:is>
          <x:t xml:space="preserve">Q2.2</x:t>
        </x:is>
      </x:c>
      <x:c r="B5" t="inlineStr">
        <x:is>
          <x:t xml:space="preserve">Affordability</x:t>
        </x:is>
      </x:c>
      <x:c r="C5" t="inlineStr">
        <x:is>
          <x:t xml:space="preserve">Very unaffordable</x:t>
        </x:is>
      </x:c>
      <x:c r="D5">
        <x:v>5</x:v>
      </x:c>
      <x:c r="E5">
        <x:v>0</x:v>
      </x:c>
    </x:row>
    <x:row r="6">
      <x:c r="A6" t="inlineStr">
        <x:is>
          <x:t xml:space="preserve">Q2.2</x:t>
        </x:is>
      </x:c>
      <x:c r="B6" t="inlineStr">
        <x:is>
          <x:t xml:space="preserve">Affordability</x:t>
        </x:is>
      </x:c>
      <x:c r="C6" t="inlineStr">
        <x:is>
          <x:t xml:space="preserve">Somewhat unaffordable</x:t>
        </x:is>
      </x:c>
      <x:c r="D6">
        <x:v>4</x:v>
      </x:c>
      <x:c r="E6">
        <x:v>25</x:v>
      </x:c>
    </x:row>
    <x:row r="7">
      <x:c r="A7" t="inlineStr">
        <x:is>
          <x:t xml:space="preserve">Q3.1</x:t>
        </x:is>
      </x:c>
      <x:c r="B7" t="inlineStr">
        <x:is>
          <x:t xml:space="preserve">Access</x:t>
        </x:is>
      </x:c>
      <x:c r="C7" t="inlineStr">
        <x:is>
          <x:t xml:space="preserve">Accessible most of the time</x:t>
        </x:is>
      </x:c>
      <x:c r="D7">
        <x:v>2</x:v>
      </x:c>
      <x:c r="E7">
        <x:v>75</x:v>
      </x:c>
    </x:row>
    <x:row r="8">
      <x:c r="A8" t="inlineStr">
        <x:is>
          <x:t xml:space="preserve">Q3.1</x:t>
        </x:is>
      </x:c>
      <x:c r="B8" t="inlineStr">
        <x:is>
          <x:t xml:space="preserve">Access</x:t>
        </x:is>
      </x:c>
      <x:c r="C8" t="inlineStr">
        <x:is>
          <x:t xml:space="preserve">Very accessible</x:t>
        </x:is>
      </x:c>
      <x:c r="D8">
        <x:v>1</x:v>
      </x:c>
      <x:c r="E8">
        <x:v>100</x:v>
      </x:c>
    </x:row>
    <x:row r="9">
      <x:c r="A9" t="inlineStr">
        <x:is>
          <x:t xml:space="preserve">Q3.1</x:t>
        </x:is>
      </x:c>
      <x:c r="B9" t="inlineStr">
        <x:is>
          <x:t xml:space="preserve">Access</x:t>
        </x:is>
      </x:c>
      <x:c r="C9" t="inlineStr">
        <x:is>
          <x:t xml:space="preserve">Occasionally accessible</x:t>
        </x:is>
      </x:c>
      <x:c r="D9">
        <x:v>3</x:v>
      </x:c>
      <x:c r="E9">
        <x:v>50</x:v>
      </x:c>
    </x:row>
    <x:row r="10">
      <x:c r="A10" t="inlineStr">
        <x:is>
          <x:t xml:space="preserve">Q3.1</x:t>
        </x:is>
      </x:c>
      <x:c r="B10" t="inlineStr">
        <x:is>
          <x:t xml:space="preserve">Access</x:t>
        </x:is>
      </x:c>
      <x:c r="C10" t="inlineStr">
        <x:is>
          <x:t xml:space="preserve">Not accessible</x:t>
        </x:is>
      </x:c>
      <x:c r="D10">
        <x:v>5</x:v>
      </x:c>
      <x:c r="E10">
        <x:v>0</x:v>
      </x:c>
    </x:row>
    <x:row r="11">
      <x:c r="A11" t="inlineStr">
        <x:is>
          <x:t xml:space="preserve">Q3.1</x:t>
        </x:is>
      </x:c>
      <x:c r="B11" t="inlineStr">
        <x:is>
          <x:t xml:space="preserve">Access</x:t>
        </x:is>
      </x:c>
      <x:c r="C11" t="inlineStr">
        <x:is>
          <x:t xml:space="preserve">Rarely accessible</x:t>
        </x:is>
      </x:c>
      <x:c r="D11">
        <x:v>4</x:v>
      </x:c>
      <x:c r="E11">
        <x:v>25</x:v>
      </x:c>
    </x:row>
    <x:row r="12">
      <x:c r="A12" t="inlineStr">
        <x:is>
          <x:t xml:space="preserve">Q4.1</x:t>
        </x:is>
      </x:c>
      <x:c r="B12" t="inlineStr">
        <x:is>
          <x:t xml:space="preserve">Reliability</x:t>
        </x:is>
      </x:c>
      <x:c r="C12" t="inlineStr">
        <x:is>
          <x:t xml:space="preserve">Occasionally reliable</x:t>
        </x:is>
      </x:c>
      <x:c r="D12">
        <x:v>3</x:v>
      </x:c>
      <x:c r="E12">
        <x:v>50</x:v>
      </x:c>
    </x:row>
    <x:row r="13">
      <x:c r="A13" t="inlineStr">
        <x:is>
          <x:t xml:space="preserve">Q4.1</x:t>
        </x:is>
      </x:c>
      <x:c r="B13" t="inlineStr">
        <x:is>
          <x:t xml:space="preserve">Reliability</x:t>
        </x:is>
      </x:c>
      <x:c r="C13" t="inlineStr">
        <x:is>
          <x:t xml:space="preserve">Mostly reliable</x:t>
        </x:is>
      </x:c>
      <x:c r="D13">
        <x:v>2</x:v>
      </x:c>
      <x:c r="E13">
        <x:v>75</x:v>
      </x:c>
    </x:row>
    <x:row r="14">
      <x:c r="A14" t="inlineStr">
        <x:is>
          <x:t xml:space="preserve">Q4.1</x:t>
        </x:is>
      </x:c>
      <x:c r="B14" t="inlineStr">
        <x:is>
          <x:t xml:space="preserve">Reliability</x:t>
        </x:is>
      </x:c>
      <x:c r="C14" t="inlineStr">
        <x:is>
          <x:t xml:space="preserve">Always reliable</x:t>
        </x:is>
      </x:c>
      <x:c r="D14">
        <x:v>1</x:v>
      </x:c>
      <x:c r="E14">
        <x:v>100</x:v>
      </x:c>
    </x:row>
    <x:row r="15">
      <x:c r="A15" t="inlineStr">
        <x:is>
          <x:t xml:space="preserve">Q4.1</x:t>
        </x:is>
      </x:c>
      <x:c r="B15" t="inlineStr">
        <x:is>
          <x:t xml:space="preserve">Reliability</x:t>
        </x:is>
      </x:c>
      <x:c r="C15" t="inlineStr">
        <x:is>
          <x:t xml:space="preserve">Rarely reliable</x:t>
        </x:is>
      </x:c>
      <x:c r="D15">
        <x:v>4</x:v>
      </x:c>
      <x:c r="E15">
        <x:v>25</x:v>
      </x:c>
    </x:row>
    <x:row r="16">
      <x:c r="A16" t="inlineStr">
        <x:is>
          <x:t xml:space="preserve">Q4.1</x:t>
        </x:is>
      </x:c>
      <x:c r="B16" t="inlineStr">
        <x:is>
          <x:t xml:space="preserve">Reliability</x:t>
        </x:is>
      </x:c>
      <x:c r="C16" t="inlineStr">
        <x:is>
          <x:t xml:space="preserve">Not reliable</x:t>
        </x:is>
      </x:c>
      <x:c r="D16">
        <x:v>5</x:v>
      </x:c>
      <x:c r="E16">
        <x:v>0</x:v>
      </x:c>
    </x:row>
    <x:row r="17">
      <x:c r="A17" t="inlineStr">
        <x:is>
          <x:t xml:space="preserve">Q5.1</x:t>
        </x:is>
      </x:c>
      <x:c r="B17" t="inlineStr">
        <x:is>
          <x:t xml:space="preserve">Efficiency</x:t>
        </x:is>
      </x:c>
      <x:c r="C17" t="inlineStr">
        <x:is>
          <x:t xml:space="preserve">Neutral</x:t>
        </x:is>
      </x:c>
      <x:c r="D17">
        <x:v>3</x:v>
      </x:c>
      <x:c r="E17">
        <x:v>50</x:v>
      </x:c>
    </x:row>
    <x:row r="18">
      <x:c r="A18" t="inlineStr">
        <x:is>
          <x:t xml:space="preserve">Q5.1</x:t>
        </x:is>
      </x:c>
      <x:c r="B18" t="inlineStr">
        <x:is>
          <x:t xml:space="preserve">Efficiency</x:t>
        </x:is>
      </x:c>
      <x:c r="C18" t="inlineStr">
        <x:is>
          <x:t xml:space="preserve">Efficient</x:t>
        </x:is>
      </x:c>
      <x:c r="D18">
        <x:v>2</x:v>
      </x:c>
      <x:c r="E18">
        <x:v>75</x:v>
      </x:c>
    </x:row>
    <x:row r="19">
      <x:c r="A19" t="inlineStr">
        <x:is>
          <x:t xml:space="preserve">Q5.1</x:t>
        </x:is>
      </x:c>
      <x:c r="B19" t="inlineStr">
        <x:is>
          <x:t xml:space="preserve">Efficiency</x:t>
        </x:is>
      </x:c>
      <x:c r="C19" t="inlineStr">
        <x:is>
          <x:t xml:space="preserve">Very efficient</x:t>
        </x:is>
      </x:c>
      <x:c r="D19">
        <x:v>1</x:v>
      </x:c>
      <x:c r="E19">
        <x:v>100</x:v>
      </x:c>
    </x:row>
    <x:row r="20">
      <x:c r="A20" t="inlineStr">
        <x:is>
          <x:t xml:space="preserve">Q5.1</x:t>
        </x:is>
      </x:c>
      <x:c r="B20" t="inlineStr">
        <x:is>
          <x:t xml:space="preserve">Efficiency</x:t>
        </x:is>
      </x:c>
      <x:c r="C20" t="inlineStr">
        <x:is>
          <x:t xml:space="preserve">Very inefficient</x:t>
        </x:is>
      </x:c>
      <x:c r="D20">
        <x:v>5</x:v>
      </x:c>
      <x:c r="E20">
        <x:v>0</x:v>
      </x:c>
    </x:row>
    <x:row r="21">
      <x:c r="A21" t="inlineStr">
        <x:is>
          <x:t xml:space="preserve">Q5.1</x:t>
        </x:is>
      </x:c>
      <x:c r="B21" t="inlineStr">
        <x:is>
          <x:t xml:space="preserve">Efficiency</x:t>
        </x:is>
      </x:c>
      <x:c r="C21" t="inlineStr">
        <x:is>
          <x:t xml:space="preserve">Inefficient</x:t>
        </x:is>
      </x:c>
      <x:c r="D21">
        <x:v>4</x:v>
      </x:c>
      <x:c r="E21">
        <x:v>25</x:v>
      </x:c>
    </x:row>
    <x:row r="22">
      <x:c r="A22" t="inlineStr">
        <x:is>
          <x:t xml:space="preserve">Q6.1</x:t>
        </x:is>
      </x:c>
      <x:c r="B22" t="inlineStr">
        <x:is>
          <x:t xml:space="preserve">Acceptability</x:t>
        </x:is>
      </x:c>
      <x:c r="C22" t="inlineStr">
        <x:is>
          <x:t xml:space="preserve">Neutral</x:t>
        </x:is>
      </x:c>
      <x:c r="D22">
        <x:v>3</x:v>
      </x:c>
      <x:c r="E22">
        <x:v>50</x:v>
      </x:c>
    </x:row>
    <x:row r="23">
      <x:c r="A23" t="inlineStr">
        <x:is>
          <x:t xml:space="preserve">Q6.1</x:t>
        </x:is>
      </x:c>
      <x:c r="B23" t="inlineStr">
        <x:is>
          <x:t xml:space="preserve">Acceptability</x:t>
        </x:is>
      </x:c>
      <x:c r="C23" t="inlineStr">
        <x:is>
          <x:t xml:space="preserve">Mostly satisfied</x:t>
        </x:is>
      </x:c>
      <x:c r="D23">
        <x:v>2</x:v>
      </x:c>
      <x:c r="E23">
        <x:v>75</x:v>
      </x:c>
    </x:row>
    <x:row r="24">
      <x:c r="A24" t="inlineStr">
        <x:is>
          <x:t xml:space="preserve">Q6.1</x:t>
        </x:is>
      </x:c>
      <x:c r="B24" t="inlineStr">
        <x:is>
          <x:t xml:space="preserve">Acceptability</x:t>
        </x:is>
      </x:c>
      <x:c r="C24" t="inlineStr">
        <x:is>
          <x:t xml:space="preserve">Completely satisfied</x:t>
        </x:is>
      </x:c>
      <x:c r="D24">
        <x:v>1</x:v>
      </x:c>
      <x:c r="E24">
        <x:v>100</x:v>
      </x:c>
    </x:row>
    <x:row r="25">
      <x:c r="A25" t="inlineStr">
        <x:is>
          <x:t xml:space="preserve">Q6.1</x:t>
        </x:is>
      </x:c>
      <x:c r="B25" t="inlineStr">
        <x:is>
          <x:t xml:space="preserve">Acceptability</x:t>
        </x:is>
      </x:c>
      <x:c r="C25" t="inlineStr">
        <x:is>
          <x:t xml:space="preserve">Mostly dissatisfied</x:t>
        </x:is>
      </x:c>
      <x:c r="D25">
        <x:v>4</x:v>
      </x:c>
      <x:c r="E25">
        <x:v>25</x:v>
      </x:c>
    </x:row>
    <x:row r="26">
      <x:c r="A26" t="inlineStr">
        <x:is>
          <x:t xml:space="preserve">Q6.1</x:t>
        </x:is>
      </x:c>
      <x:c r="B26" t="inlineStr">
        <x:is>
          <x:t xml:space="preserve">Acceptability</x:t>
        </x:is>
      </x:c>
      <x:c r="C26" t="inlineStr">
        <x:is>
          <x:t xml:space="preserve">Completely dissatisfied</x:t>
        </x:is>
      </x:c>
      <x:c r="D26">
        <x:v>5</x:v>
      </x:c>
      <x:c r="E26">
        <x:v>0</x:v>
      </x:c>
    </x:row>
    <x:row r="27">
      <x:c r="A27" t="inlineStr">
        <x:is>
          <x:t xml:space="preserve">Q7.1</x:t>
        </x:is>
      </x:c>
      <x:c r="B27" t="inlineStr">
        <x:is>
          <x:t xml:space="preserve">Quality</x:t>
        </x:is>
      </x:c>
      <x:c r="C27" t="inlineStr">
        <x:is>
          <x:t xml:space="preserve">Neutral</x:t>
        </x:is>
      </x:c>
      <x:c r="D27">
        <x:v>3</x:v>
      </x:c>
      <x:c r="E27">
        <x:v>50</x:v>
      </x:c>
    </x:row>
    <x:row r="28">
      <x:c r="A28" t="inlineStr">
        <x:is>
          <x:t xml:space="preserve">Q7.1</x:t>
        </x:is>
      </x:c>
      <x:c r="B28" t="inlineStr">
        <x:is>
          <x:t xml:space="preserve">Quality</x:t>
        </x:is>
      </x:c>
      <x:c r="C28" t="inlineStr">
        <x:is>
          <x:t xml:space="preserve">Good</x:t>
        </x:is>
      </x:c>
      <x:c r="D28">
        <x:v>2</x:v>
      </x:c>
      <x:c r="E28">
        <x:v>75</x:v>
      </x:c>
    </x:row>
    <x:row r="29">
      <x:c r="A29" t="inlineStr">
        <x:is>
          <x:t xml:space="preserve">Q7.1</x:t>
        </x:is>
      </x:c>
      <x:c r="B29" t="inlineStr">
        <x:is>
          <x:t xml:space="preserve">Quality</x:t>
        </x:is>
      </x:c>
      <x:c r="C29" t="inlineStr">
        <x:is>
          <x:t xml:space="preserve">Excellent</x:t>
        </x:is>
      </x:c>
      <x:c r="D29">
        <x:v>1</x:v>
      </x:c>
      <x:c r="E29">
        <x:v>100</x:v>
      </x:c>
    </x:row>
    <x:row r="30">
      <x:c r="A30" t="inlineStr">
        <x:is>
          <x:t xml:space="preserve">Q7.1</x:t>
        </x:is>
      </x:c>
      <x:c r="B30" t="inlineStr">
        <x:is>
          <x:t xml:space="preserve">Quality</x:t>
        </x:is>
      </x:c>
      <x:c r="C30" t="inlineStr">
        <x:is>
          <x:t xml:space="preserve">Poor</x:t>
        </x:is>
      </x:c>
      <x:c r="D30">
        <x:v>4</x:v>
      </x:c>
      <x:c r="E30">
        <x:v>25</x:v>
      </x:c>
    </x:row>
    <x:row r="31">
      <x:c r="A31" t="inlineStr">
        <x:is>
          <x:t xml:space="preserve">Q7.1</x:t>
        </x:is>
      </x:c>
      <x:c r="B31" t="inlineStr">
        <x:is>
          <x:t xml:space="preserve">Quality</x:t>
        </x:is>
      </x:c>
      <x:c r="C31" t="inlineStr">
        <x:is>
          <x:t xml:space="preserve">Very poor</x:t>
        </x:is>
      </x:c>
      <x:c r="D31">
        <x:v>5</x:v>
      </x:c>
      <x:c r="E31">
        <x:v>0</x:v>
      </x:c>
    </x:row>
    <x:row r="32">
      <x:c r="A32" t="inlineStr">
        <x:is>
          <x:t xml:space="preserve">Q8.1</x:t>
        </x:is>
      </x:c>
      <x:c r="B32" t="inlineStr">
        <x:is>
          <x:t xml:space="preserve">Quantity</x:t>
        </x:is>
      </x:c>
      <x:c r="C32" t="inlineStr">
        <x:is>
          <x:t xml:space="preserve">Always sufficient</x:t>
        </x:is>
      </x:c>
      <x:c r="D32">
        <x:v>1</x:v>
      </x:c>
      <x:c r="E32">
        <x:v>100</x:v>
      </x:c>
    </x:row>
    <x:row r="33">
      <x:c r="A33" t="inlineStr">
        <x:is>
          <x:t xml:space="preserve">Q8.1</x:t>
        </x:is>
      </x:c>
      <x:c r="B33" t="inlineStr">
        <x:is>
          <x:t xml:space="preserve">Quantity</x:t>
        </x:is>
      </x:c>
      <x:c r="C33" t="inlineStr">
        <x:is>
          <x:t xml:space="preserve">Occasionally sufficient</x:t>
        </x:is>
      </x:c>
      <x:c r="D33">
        <x:v>3</x:v>
      </x:c>
      <x:c r="E33">
        <x:v>50</x:v>
      </x:c>
    </x:row>
    <x:row r="34">
      <x:c r="A34" t="inlineStr">
        <x:is>
          <x:t xml:space="preserve">Q8.1</x:t>
        </x:is>
      </x:c>
      <x:c r="B34" t="inlineStr">
        <x:is>
          <x:t xml:space="preserve">Quantity</x:t>
        </x:is>
      </x:c>
      <x:c r="C34" t="inlineStr">
        <x:is>
          <x:t xml:space="preserve">Mostly sufficient</x:t>
        </x:is>
      </x:c>
      <x:c r="D34">
        <x:v>2</x:v>
      </x:c>
      <x:c r="E34">
        <x:v>75</x:v>
      </x:c>
    </x:row>
    <x:row r="35">
      <x:c r="A35" t="inlineStr">
        <x:is>
          <x:t xml:space="preserve">Q8.1</x:t>
        </x:is>
      </x:c>
      <x:c r="B35" t="inlineStr">
        <x:is>
          <x:t xml:space="preserve">Quantity</x:t>
        </x:is>
      </x:c>
      <x:c r="C35" t="inlineStr">
        <x:is>
          <x:t xml:space="preserve">Never sufficient</x:t>
        </x:is>
      </x:c>
      <x:c r="D35">
        <x:v>5</x:v>
      </x:c>
      <x:c r="E35">
        <x:v>0</x:v>
      </x:c>
    </x:row>
    <x:row r="36">
      <x:c r="A36" t="inlineStr">
        <x:is>
          <x:t xml:space="preserve">Q8.1</x:t>
        </x:is>
      </x:c>
      <x:c r="B36" t="inlineStr">
        <x:is>
          <x:t xml:space="preserve">Quantity</x:t>
        </x:is>
      </x:c>
      <x:c r="C36" t="inlineStr">
        <x:is>
          <x:t xml:space="preserve">Rarely sufficient</x:t>
        </x:is>
      </x:c>
      <x:c r="D36">
        <x:v>4</x:v>
      </x:c>
      <x:c r="E36">
        <x:v>25</x:v>
      </x:c>
    </x:row>
    <x:row r="37">
      <x:c r="A37" t="inlineStr">
        <x:is>
          <x:t xml:space="preserve">Q9.1</x:t>
        </x:is>
      </x:c>
      <x:c r="B37" t="inlineStr">
        <x:is>
          <x:t xml:space="preserve">Customer service</x:t>
        </x:is>
      </x:c>
      <x:c r="C37" t="inlineStr">
        <x:is>
          <x:t xml:space="preserve">Excellent</x:t>
        </x:is>
      </x:c>
      <x:c r="D37">
        <x:v>1</x:v>
      </x:c>
      <x:c r="E37">
        <x:v>100</x:v>
      </x:c>
    </x:row>
    <x:row r="38">
      <x:c r="A38" t="inlineStr">
        <x:is>
          <x:t xml:space="preserve">Q9.1</x:t>
        </x:is>
      </x:c>
      <x:c r="B38" t="inlineStr">
        <x:is>
          <x:t xml:space="preserve">Customer service</x:t>
        </x:is>
      </x:c>
      <x:c r="C38" t="inlineStr">
        <x:is>
          <x:t xml:space="preserve">Neutral</x:t>
        </x:is>
      </x:c>
      <x:c r="D38">
        <x:v>3</x:v>
      </x:c>
      <x:c r="E38">
        <x:v>50</x:v>
      </x:c>
    </x:row>
    <x:row r="39">
      <x:c r="A39" t="inlineStr">
        <x:is>
          <x:t xml:space="preserve">Q9.1</x:t>
        </x:is>
      </x:c>
      <x:c r="B39" t="inlineStr">
        <x:is>
          <x:t xml:space="preserve">Customer service</x:t>
        </x:is>
      </x:c>
      <x:c r="C39" t="inlineStr">
        <x:is>
          <x:t xml:space="preserve">Good</x:t>
        </x:is>
      </x:c>
      <x:c r="D39">
        <x:v>2</x:v>
      </x:c>
      <x:c r="E39">
        <x:v>75</x:v>
      </x:c>
    </x:row>
    <x:row r="40">
      <x:c r="A40" t="inlineStr">
        <x:is>
          <x:t xml:space="preserve">Q9.1</x:t>
        </x:is>
      </x:c>
      <x:c r="B40" t="inlineStr">
        <x:is>
          <x:t xml:space="preserve">Customer service</x:t>
        </x:is>
      </x:c>
      <x:c r="C40" t="inlineStr">
        <x:is>
          <x:t xml:space="preserve">Very poor</x:t>
        </x:is>
      </x:c>
      <x:c r="D40">
        <x:v>5</x:v>
      </x:c>
      <x:c r="E40">
        <x:v>0</x:v>
      </x:c>
    </x:row>
    <x:row r="41">
      <x:c r="A41" t="inlineStr">
        <x:is>
          <x:t xml:space="preserve">Q9.1</x:t>
        </x:is>
      </x:c>
      <x:c r="B41" t="inlineStr">
        <x:is>
          <x:t xml:space="preserve">Customer service</x:t>
        </x:is>
      </x:c>
      <x:c r="C41" t="inlineStr">
        <x:is>
          <x:t xml:space="preserve">Poor</x:t>
        </x:is>
      </x:c>
      <x:c r="D41">
        <x:v>4</x:v>
      </x:c>
      <x:c r="E41">
        <x:v>25</x:v>
      </x:c>
    </x:row>
    <x:row r="42">
      <x:c r="A42" t="inlineStr">
        <x:is>
          <x:t xml:space="preserve">Q9.1</x:t>
        </x:is>
      </x:c>
      <x:c r="B42" t="inlineStr">
        <x:is>
          <x:t xml:space="preserve">Customer service</x:t>
        </x:is>
      </x:c>
      <x:c r="C42" t="inlineStr">
        <x:is>
          <x:t xml:space="preserve">We have a full water system in-house (not dependent on any provider)</x:t>
        </x:is>
      </x:c>
      <x:c r="D42" t="inlineStr">
        <x:is>
          <x:t xml:space="preserve">N/A</x:t>
        </x:is>
      </x:c>
      <x:c r="E42" t="inlineStr">
        <x:is>
          <x:t xml:space="preserve">N/A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27" customWidth="1"/>
    <x:col min="2" max="2" width="27" customWidth="1"/>
    <x:col min="3" max="3" width="27" customWidth="1"/>
    <x:col min="4" max="4" width="27" customWidth="1"/>
    <x:col min="5" max="5" width="75" customWidth="1"/>
  </x:cols>
  <x:sheetData>
    <x:row r="1">
      <x:c r="A1" s="1" t="inlineStr">
        <x:is>
          <x:t xml:space="preserve">STATISTICAL ANALYSIS RESULTS</x:t>
        </x:is>
      </x:c>
    </x:row>
    <x:row r="3">
      <x:c r="A3" s="3" t="inlineStr">
        <x:is>
          <x:t xml:space="preserve">Analysis</x:t>
        </x:is>
      </x:c>
      <x:c r="B3" s="3" t="inlineStr">
        <x:is>
          <x:t xml:space="preserve">Measure</x:t>
        </x:is>
      </x:c>
      <x:c r="C3" s="3" t="inlineStr">
        <x:is>
          <x:t xml:space="preserve">Value</x:t>
        </x:is>
      </x:c>
      <x:c r="D3" s="3" t="inlineStr">
        <x:is>
          <x:t xml:space="preserve">Sample size</x:t>
        </x:is>
      </x:c>
      <x:c r="E3" s="3" t="inlineStr">
        <x:is>
          <x:t xml:space="preserve">Notes</x:t>
        </x:is>
      </x:c>
    </x:row>
    <x:row r="5">
      <x:c r="A5" t="inlineStr">
        <x:is>
          <x:t xml:space="preserve">Import aggregate Python results here. Do not paste observed household records.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35" customWidth="1"/>
    <x:col min="2" max="2" width="35" customWidth="1"/>
    <x:col min="3" max="3" width="35" customWidth="1"/>
    <x:col min="4" max="4" width="35" customWidth="1"/>
    <x:col min="5" max="5" width="35" customWidth="1"/>
    <x:col min="6" max="6" width="35" customWidth="1"/>
    <x:col min="7" max="7" width="35" customWidth="1"/>
    <x:col min="8" max="8" width="35" customWidth="1"/>
    <x:col min="9" max="9" width="35" customWidth="1"/>
    <x:col min="10" max="10" width="35" customWidth="1"/>
    <x:col min="11" max="11" width="35" customWidth="1"/>
    <x:col min="12" max="12" width="35" customWidth="1"/>
    <x:col min="13" max="13" width="35" customWidth="1"/>
    <x:col min="14" max="14" width="35" customWidth="1"/>
    <x:col min="15" max="15" width="35" customWidth="1"/>
    <x:col min="16" max="16" width="35" customWidth="1"/>
    <x:col min="17" max="17" width="35" customWidth="1"/>
    <x:col min="18" max="18" width="35" customWidth="1"/>
    <x:col min="19" max="19" width="35" customWidth="1"/>
    <x:col min="20" max="20" width="35" customWidth="1"/>
    <x:col min="21" max="21" width="35" customWidth="1"/>
    <x:col min="22" max="22" width="35" customWidth="1"/>
    <x:col min="23" max="23" width="35" customWidth="1"/>
    <x:col min="24" max="24" width="35" customWidth="1"/>
    <x:col min="25" max="25" width="35" customWidth="1"/>
    <x:col min="26" max="26" width="35" customWidth="1"/>
    <x:col min="27" max="27" width="35" customWidth="1"/>
    <x:col min="28" max="28" width="35" customWidth="1"/>
    <x:col min="29" max="29" width="35" customWidth="1"/>
    <x:col min="30" max="30" width="35" customWidth="1"/>
    <x:col min="31" max="31" width="35" customWidth="1"/>
    <x:col min="32" max="32" width="35" customWidth="1"/>
    <x:col min="33" max="33" width="35" customWidth="1"/>
    <x:col min="34" max="34" width="35" customWidth="1"/>
    <x:col min="35" max="35" width="35" customWidth="1"/>
    <x:col min="36" max="36" width="35" customWidth="1"/>
    <x:col min="37" max="37" width="35" customWidth="1"/>
    <x:col min="38" max="38" width="35" customWidth="1"/>
    <x:col min="39" max="39" width="35" customWidth="1"/>
    <x:col min="40" max="40" width="35" customWidth="1"/>
    <x:col min="41" max="41" width="35" customWidth="1"/>
    <x:col min="42" max="42" width="35" customWidth="1"/>
    <x:col min="43" max="43" width="35" customWidth="1"/>
    <x:col min="44" max="44" width="35" customWidth="1"/>
    <x:col min="45" max="45" width="35" customWidth="1"/>
  </x:cols>
  <x:sheetData>
    <x:row r="1">
      <x:c r="A1" s="1" t="inlineStr">
        <x:is>
          <x:t xml:space="preserve">Q2.2</x:t>
        </x:is>
      </x:c>
      <x:c r="B1" s="1" t="inlineStr">
        <x:is>
          <x:t xml:space="preserve">Q3.1</x:t>
        </x:is>
      </x:c>
      <x:c r="C1" s="1" t="inlineStr">
        <x:is>
          <x:t xml:space="preserve">Q4.1</x:t>
        </x:is>
      </x:c>
      <x:c r="D1" s="1" t="inlineStr">
        <x:is>
          <x:t xml:space="preserve">Q5.1</x:t>
        </x:is>
      </x:c>
      <x:c r="E1" s="1" t="inlineStr">
        <x:is>
          <x:t xml:space="preserve">Q6.1</x:t>
        </x:is>
      </x:c>
      <x:c r="F1" s="1" t="inlineStr">
        <x:is>
          <x:t xml:space="preserve">Q7.1</x:t>
        </x:is>
      </x:c>
      <x:c r="G1" s="1" t="inlineStr">
        <x:is>
          <x:t xml:space="preserve">Q8.1</x:t>
        </x:is>
      </x:c>
      <x:c r="H1" s="1" t="inlineStr">
        <x:is>
          <x:t xml:space="preserve">Q9.1</x:t>
        </x:is>
      </x:c>
      <x:c r="I1" s="1" t="inlineStr">
        <x:is>
          <x:t xml:space="preserve">R_Q1.1</x:t>
        </x:is>
      </x:c>
      <x:c r="J1" s="1" t="inlineStr">
        <x:is>
          <x:t xml:space="preserve">R_Q1.3</x:t>
        </x:is>
      </x:c>
      <x:c r="K1" s="1" t="inlineStr">
        <x:is>
          <x:t xml:space="preserve">R_Q2.2</x:t>
        </x:is>
      </x:c>
      <x:c r="L1" s="1" t="inlineStr">
        <x:is>
          <x:t xml:space="preserve">R_Q2.3_status</x:t>
        </x:is>
      </x:c>
      <x:c r="M1" s="1" t="inlineStr">
        <x:is>
          <x:t xml:space="preserve">R_Q2.5</x:t>
        </x:is>
      </x:c>
      <x:c r="N1" s="1" t="inlineStr">
        <x:is>
          <x:t xml:space="preserve">R_Q2.8</x:t>
        </x:is>
      </x:c>
      <x:c r="O1" s="1" t="inlineStr">
        <x:is>
          <x:t xml:space="preserve">R_Q3.1</x:t>
        </x:is>
      </x:c>
      <x:c r="P1" s="1" t="inlineStr">
        <x:is>
          <x:t xml:space="preserve">R_Q3.2</x:t>
        </x:is>
      </x:c>
      <x:c r="Q1" s="1" t="inlineStr">
        <x:is>
          <x:t xml:space="preserve">R_Q3.3</x:t>
        </x:is>
      </x:c>
      <x:c r="R1" s="1" t="inlineStr">
        <x:is>
          <x:t xml:space="preserve">R_Q3.5</x:t>
        </x:is>
      </x:c>
      <x:c r="S1" s="1" t="inlineStr">
        <x:is>
          <x:t xml:space="preserve">R_Q3.6</x:t>
        </x:is>
      </x:c>
      <x:c r="T1" s="1" t="inlineStr">
        <x:is>
          <x:t xml:space="preserve">R_Q4.1</x:t>
        </x:is>
      </x:c>
      <x:c r="U1" s="1" t="inlineStr">
        <x:is>
          <x:t xml:space="preserve">R_Q4.2</x:t>
        </x:is>
      </x:c>
      <x:c r="V1" s="1" t="inlineStr">
        <x:is>
          <x:t xml:space="preserve">R_Q4.3</x:t>
        </x:is>
      </x:c>
      <x:c r="W1" s="1" t="inlineStr">
        <x:is>
          <x:t xml:space="preserve">R_Q4.4</x:t>
        </x:is>
      </x:c>
      <x:c r="X1" s="1" t="inlineStr">
        <x:is>
          <x:t xml:space="preserve">R_Q5.1</x:t>
        </x:is>
      </x:c>
      <x:c r="Y1" s="1" t="inlineStr">
        <x:is>
          <x:t xml:space="preserve">R_Q5.2</x:t>
        </x:is>
      </x:c>
      <x:c r="Z1" s="1" t="inlineStr">
        <x:is>
          <x:t xml:space="preserve">R_Q5.3</x:t>
        </x:is>
      </x:c>
      <x:c r="AA1" s="1" t="inlineStr">
        <x:is>
          <x:t xml:space="preserve">R_Q6.1</x:t>
        </x:is>
      </x:c>
      <x:c r="AB1" s="1" t="inlineStr">
        <x:is>
          <x:t xml:space="preserve">R_Q6.2</x:t>
        </x:is>
      </x:c>
      <x:c r="AC1" s="1" t="inlineStr">
        <x:is>
          <x:t xml:space="preserve">R_Q6.3</x:t>
        </x:is>
      </x:c>
      <x:c r="AD1" s="1" t="inlineStr">
        <x:is>
          <x:t xml:space="preserve">R_Q6.4</x:t>
        </x:is>
      </x:c>
      <x:c r="AE1" s="1" t="inlineStr">
        <x:is>
          <x:t xml:space="preserve">R_Q7.1</x:t>
        </x:is>
      </x:c>
      <x:c r="AF1" s="1" t="inlineStr">
        <x:is>
          <x:t xml:space="preserve">R_Q7.3</x:t>
        </x:is>
      </x:c>
      <x:c r="AG1" s="1" t="inlineStr">
        <x:is>
          <x:t xml:space="preserve">R_Q7.4</x:t>
        </x:is>
      </x:c>
      <x:c r="AH1" s="1" t="inlineStr">
        <x:is>
          <x:t xml:space="preserve">R_Q8.1</x:t>
        </x:is>
      </x:c>
      <x:c r="AI1" s="1" t="inlineStr">
        <x:is>
          <x:t xml:space="preserve">R_Q8.2_unit</x:t>
        </x:is>
      </x:c>
      <x:c r="AJ1" s="1" t="inlineStr">
        <x:is>
          <x:t xml:space="preserve">R_Q8.2_status</x:t>
        </x:is>
      </x:c>
      <x:c r="AK1" s="1" t="inlineStr">
        <x:is>
          <x:t xml:space="preserve">R_Q8.3</x:t>
        </x:is>
      </x:c>
      <x:c r="AL1" s="1" t="inlineStr">
        <x:is>
          <x:t xml:space="preserve">R_Q8.4</x:t>
        </x:is>
      </x:c>
      <x:c r="AM1" s="1" t="inlineStr">
        <x:is>
          <x:t xml:space="preserve">R_Q9.1</x:t>
        </x:is>
      </x:c>
      <x:c r="AN1" s="1" t="inlineStr">
        <x:is>
          <x:t xml:space="preserve">R_Q9.2</x:t>
        </x:is>
      </x:c>
      <x:c r="AO1" s="1" t="inlineStr">
        <x:is>
          <x:t xml:space="preserve">R_Q9.4</x:t>
        </x:is>
      </x:c>
      <x:c r="AP1" s="1" t="inlineStr">
        <x:is>
          <x:t xml:space="preserve">R_Q15.10</x:t>
        </x:is>
      </x:c>
      <x:c r="AQ1" s="1" t="inlineStr">
        <x:is>
          <x:t xml:space="preserve">R_Q15.14</x:t>
        </x:is>
      </x:c>
      <x:c r="AR1" s="1" t="inlineStr">
        <x:is>
          <x:t xml:space="preserve">R_Q15.2</x:t>
        </x:is>
      </x:c>
      <x:c r="AS1" s="1" t="inlineStr">
        <x:is>
          <x:t xml:space="preserve">R_Q15.17_status</x:t>
        </x:is>
      </x:c>
    </x:row>
    <x:row r="2">
      <x:c r="A2" t="inlineStr">
        <x:is>
          <x:t xml:space="preserve">Very affordable</x:t>
        </x:is>
      </x:c>
      <x:c r="B2" t="inlineStr">
        <x:is>
          <x:t xml:space="preserve">Very accessible</x:t>
        </x:is>
      </x:c>
      <x:c r="C2" t="inlineStr">
        <x:is>
          <x:t xml:space="preserve">Always reliable</x:t>
        </x:is>
      </x:c>
      <x:c r="D2" t="inlineStr">
        <x:is>
          <x:t xml:space="preserve">Very efficient</x:t>
        </x:is>
      </x:c>
      <x:c r="E2" t="inlineStr">
        <x:is>
          <x:t xml:space="preserve">Completely satisfied</x:t>
        </x:is>
      </x:c>
      <x:c r="F2" t="inlineStr">
        <x:is>
          <x:t xml:space="preserve">Excellent</x:t>
        </x:is>
      </x:c>
      <x:c r="G2" t="inlineStr">
        <x:is>
          <x:t xml:space="preserve">Always sufficient</x:t>
        </x:is>
      </x:c>
      <x:c r="H2" t="inlineStr">
        <x:is>
          <x:t xml:space="preserve">Excellent</x:t>
        </x:is>
      </x:c>
      <x:c r="I2" t="inlineStr">
        <x:is>
          <x:t xml:space="preserve">Public or utility piped supply</x:t>
        </x:is>
      </x:c>
      <x:c r="J2" t="inlineStr">
        <x:is>
          <x:t xml:space="preserve">Public or utility piped supply</x:t>
        </x:is>
      </x:c>
      <x:c r="K2" t="inlineStr">
        <x:is>
          <x:t xml:space="preserve">Very affordable</x:t>
        </x:is>
      </x:c>
      <x:c r="L2" t="inlineStr">
        <x:is>
          <x:t xml:space="preserve">Measured</x:t>
        </x:is>
      </x:c>
      <x:c r="M2" t="inlineStr">
        <x:is>
          <x:t xml:space="preserve">Excellent</x:t>
        </x:is>
      </x:c>
      <x:c r="N2" t="inlineStr">
        <x:is>
          <x:t xml:space="preserve">Yes, sometimes</x:t>
        </x:is>
      </x:c>
      <x:c r="O2" t="inlineStr">
        <x:is>
          <x:t xml:space="preserve">Very accessible</x:t>
        </x:is>
      </x:c>
      <x:c r="P2" t="inlineStr">
        <x:is>
          <x:t xml:space="preserve">No travel required</x:t>
        </x:is>
      </x:c>
      <x:c r="Q2" t="inlineStr">
        <x:is>
          <x:t xml:space="preserve">No time required</x:t>
        </x:is>
      </x:c>
      <x:c r="R2" t="inlineStr">
        <x:is>
          <x:t xml:space="preserve">Available at any time</x:t>
        </x:is>
      </x:c>
      <x:c r="S2" t="inlineStr">
        <x:is>
          <x:t xml:space="preserve">Continuous, 24 hours a day</x:t>
        </x:is>
      </x:c>
      <x:c r="T2" t="inlineStr">
        <x:is>
          <x:t xml:space="preserve">Always reliable</x:t>
        </x:is>
      </x:c>
      <x:c r="U2" t="inlineStr">
        <x:is>
          <x:t xml:space="preserve">Always sufficient</x:t>
        </x:is>
      </x:c>
      <x:c r="V2" t="inlineStr">
        <x:is>
          <x:t xml:space="preserve">Always</x:t>
        </x:is>
      </x:c>
      <x:c r="W2" t="inlineStr">
        <x:is>
          <x:t xml:space="preserve">Yes, enough backup water</x:t>
        </x:is>
      </x:c>
      <x:c r="X2" t="inlineStr">
        <x:is>
          <x:t xml:space="preserve">Very efficient</x:t>
        </x:is>
      </x:c>
      <x:c r="Y2" t="inlineStr">
        <x:is>
          <x:t xml:space="preserve">No</x:t>
        </x:is>
      </x:c>
      <x:c r="Z2" t="inlineStr">
        <x:is>
          <x:t xml:space="preserve">Well-maintained</x:t>
        </x:is>
      </x:c>
      <x:c r="AA2" t="inlineStr">
        <x:is>
          <x:t xml:space="preserve">Completely satisfied</x:t>
        </x:is>
      </x:c>
      <x:c r="AB2" t="inlineStr">
        <x:is>
          <x:t xml:space="preserve">Completely acceptable</x:t>
        </x:is>
      </x:c>
      <x:c r="AC2" t="inlineStr">
        <x:is>
          <x:t xml:space="preserve">Completely acceptable</x:t>
        </x:is>
      </x:c>
      <x:c r="AD2" t="inlineStr">
        <x:is>
          <x:t xml:space="preserve">Completely acceptable</x:t>
        </x:is>
      </x:c>
      <x:c r="AE2" t="inlineStr">
        <x:is>
          <x:t xml:space="preserve">Excellent</x:t>
        </x:is>
      </x:c>
      <x:c r="AF2" t="inlineStr">
        <x:is>
          <x:t xml:space="preserve">Always clear</x:t>
        </x:is>
      </x:c>
      <x:c r="AG2" t="inlineStr">
        <x:is>
          <x:t xml:space="preserve">Improved</x:t>
        </x:is>
      </x:c>
      <x:c r="AH2" t="inlineStr">
        <x:is>
          <x:t xml:space="preserve">Always sufficient</x:t>
        </x:is>
      </x:c>
      <x:c r="AI2" t="inlineStr">
        <x:is>
          <x:t xml:space="preserve">Liters</x:t>
        </x:is>
      </x:c>
      <x:c r="AJ2" t="inlineStr">
        <x:is>
          <x:t xml:space="preserve">Measured</x:t>
        </x:is>
      </x:c>
      <x:c r="AK2" t="inlineStr">
        <x:is>
          <x:t xml:space="preserve">Never</x:t>
        </x:is>
      </x:c>
      <x:c r="AL2" t="inlineStr">
        <x:is>
          <x:t xml:space="preserve">No</x:t>
        </x:is>
      </x:c>
      <x:c r="AM2" t="inlineStr">
        <x:is>
          <x:t xml:space="preserve">Excellent</x:t>
        </x:is>
      </x:c>
      <x:c r="AN2" t="inlineStr">
        <x:is>
          <x:t xml:space="preserve">Always</x:t>
        </x:is>
      </x:c>
      <x:c r="AO2" t="inlineStr">
        <x:is>
          <x:t xml:space="preserve">Yes</x:t>
        </x:is>
      </x:c>
      <x:c r="AP2" t="inlineStr">
        <x:is>
          <x:t xml:space="preserve">1</x:t>
        </x:is>
      </x:c>
      <x:c r="AQ2" t="inlineStr">
        <x:is>
          <x:t xml:space="preserve">Individual house</x:t>
        </x:is>
      </x:c>
      <x:c r="AR2" t="inlineStr">
        <x:is>
          <x:t xml:space="preserve">Female</x:t>
        </x:is>
      </x:c>
      <x:c r="AS2" t="inlineStr">
        <x:is>
          <x:t xml:space="preserve">Measured</x:t>
        </x:is>
      </x:c>
    </x:row>
    <x:row r="3">
      <x:c r="A3" t="inlineStr">
        <x:is>
          <x:t xml:space="preserve">Somewhat affordable</x:t>
        </x:is>
      </x:c>
      <x:c r="B3" t="inlineStr">
        <x:is>
          <x:t xml:space="preserve">Accessible most of the time</x:t>
        </x:is>
      </x:c>
      <x:c r="C3" t="inlineStr">
        <x:is>
          <x:t xml:space="preserve">Mostly reliable</x:t>
        </x:is>
      </x:c>
      <x:c r="D3" t="inlineStr">
        <x:is>
          <x:t xml:space="preserve">Efficient</x:t>
        </x:is>
      </x:c>
      <x:c r="E3" t="inlineStr">
        <x:is>
          <x:t xml:space="preserve">Mostly satisfied</x:t>
        </x:is>
      </x:c>
      <x:c r="F3" t="inlineStr">
        <x:is>
          <x:t xml:space="preserve">Good</x:t>
        </x:is>
      </x:c>
      <x:c r="G3" t="inlineStr">
        <x:is>
          <x:t xml:space="preserve">Mostly sufficient</x:t>
        </x:is>
      </x:c>
      <x:c r="H3" t="inlineStr">
        <x:is>
          <x:t xml:space="preserve">Good</x:t>
        </x:is>
      </x:c>
      <x:c r="I3" t="inlineStr">
        <x:is>
          <x:t xml:space="preserve">Groundwater (well or borehole)</x:t>
        </x:is>
      </x:c>
      <x:c r="J3" t="inlineStr">
        <x:is>
          <x:t xml:space="preserve">Groundwater (well or borehole)</x:t>
        </x:is>
      </x:c>
      <x:c r="K3" t="inlineStr">
        <x:is>
          <x:t xml:space="preserve">Somewhat affordable</x:t>
        </x:is>
      </x:c>
      <x:c r="L3" t="inlineStr">
        <x:is>
          <x:t xml:space="preserve">Not separately measured</x:t>
        </x:is>
      </x:c>
      <x:c r="M3" t="inlineStr">
        <x:is>
          <x:t xml:space="preserve">Good</x:t>
        </x:is>
      </x:c>
      <x:c r="N3" t="inlineStr">
        <x:is>
          <x:t xml:space="preserve">Yes, only seasonally</x:t>
        </x:is>
      </x:c>
      <x:c r="O3" t="inlineStr">
        <x:is>
          <x:t xml:space="preserve">Accessible most of the time</x:t>
        </x:is>
      </x:c>
      <x:c r="P3" t="inlineStr">
        <x:is>
          <x:t xml:space="preserve">Less than 15 minutes</x:t>
        </x:is>
      </x:c>
      <x:c r="Q3" t="inlineStr">
        <x:is>
          <x:t xml:space="preserve">Less than 15 minutes</x:t>
        </x:is>
      </x:c>
      <x:c r="R3" t="inlineStr">
        <x:is>
          <x:t xml:space="preserve">Available at scheduled times</x:t>
        </x:is>
      </x:c>
      <x:c r="S3" t="inlineStr">
        <x:is>
          <x:t xml:space="preserve">A few hours each day at set times</x:t>
        </x:is>
      </x:c>
      <x:c r="T3" t="inlineStr">
        <x:is>
          <x:t xml:space="preserve">Mostly reliable</x:t>
        </x:is>
      </x:c>
      <x:c r="U3" t="inlineStr">
        <x:is>
          <x:t xml:space="preserve">Mostly sufficient</x:t>
        </x:is>
      </x:c>
      <x:c r="V3" t="inlineStr">
        <x:is>
          <x:t xml:space="preserve">Most of the time</x:t>
        </x:is>
      </x:c>
      <x:c r="W3" t="inlineStr">
        <x:is>
          <x:t xml:space="preserve">Yes, but limited backup water</x:t>
        </x:is>
      </x:c>
      <x:c r="X3" t="inlineStr">
        <x:is>
          <x:t xml:space="preserve">Efficient</x:t>
        </x:is>
      </x:c>
      <x:c r="Y3" t="inlineStr">
        <x:is>
          <x:t xml:space="preserve">Yes, only minor variations</x:t>
        </x:is>
      </x:c>
      <x:c r="Z3" t="inlineStr">
        <x:is>
          <x:t xml:space="preserve">Somewhat maintained</x:t>
        </x:is>
      </x:c>
      <x:c r="AA3" t="inlineStr">
        <x:is>
          <x:t xml:space="preserve">Mostly satisfied</x:t>
        </x:is>
      </x:c>
      <x:c r="AB3" t="inlineStr">
        <x:is>
          <x:t xml:space="preserve">Somewhat acceptable</x:t>
        </x:is>
      </x:c>
      <x:c r="AC3" t="inlineStr">
        <x:is>
          <x:t xml:space="preserve">Somewhat acceptable</x:t>
        </x:is>
      </x:c>
      <x:c r="AD3" t="inlineStr">
        <x:is>
          <x:t xml:space="preserve">Somewhat acceptable</x:t>
        </x:is>
      </x:c>
      <x:c r="AE3" t="inlineStr">
        <x:is>
          <x:t xml:space="preserve">Good</x:t>
        </x:is>
      </x:c>
      <x:c r="AF3" t="inlineStr">
        <x:is>
          <x:t xml:space="preserve">Mostly clear</x:t>
        </x:is>
      </x:c>
      <x:c r="AG3" t="inlineStr">
        <x:is>
          <x:t xml:space="preserve">Remained the same</x:t>
        </x:is>
      </x:c>
      <x:c r="AH3" t="inlineStr">
        <x:is>
          <x:t xml:space="preserve">Mostly sufficient</x:t>
        </x:is>
      </x:c>
      <x:c r="AI3" t="inlineStr">
        <x:is>
          <x:t xml:space="preserve">US gallons</x:t>
        </x:is>
      </x:c>
      <x:c r="AJ3" t="inlineStr">
        <x:is>
          <x:t xml:space="preserve">Do not know</x:t>
        </x:is>
      </x:c>
      <x:c r="AK3" t="inlineStr">
        <x:is>
          <x:t xml:space="preserve">Rarely</x:t>
        </x:is>
      </x:c>
      <x:c r="AL3" t="inlineStr">
        <x:is>
          <x:t xml:space="preserve">Minor variations</x:t>
        </x:is>
      </x:c>
      <x:c r="AM3" t="inlineStr">
        <x:is>
          <x:t xml:space="preserve">Good</x:t>
        </x:is>
      </x:c>
      <x:c r="AN3" t="inlineStr">
        <x:is>
          <x:t xml:space="preserve">Most of the time</x:t>
        </x:is>
      </x:c>
      <x:c r="AO3" t="inlineStr">
        <x:is>
          <x:t xml:space="preserve">No</x:t>
        </x:is>
      </x:c>
      <x:c r="AP3" t="inlineStr">
        <x:is>
          <x:t xml:space="preserve">2</x:t>
        </x:is>
      </x:c>
      <x:c r="AQ3" t="inlineStr">
        <x:is>
          <x:t xml:space="preserve">Apartment or flat</x:t>
        </x:is>
      </x:c>
      <x:c r="AR3" t="inlineStr">
        <x:is>
          <x:t xml:space="preserve">Male</x:t>
        </x:is>
      </x:c>
      <x:c r="AS3" t="inlineStr">
        <x:is>
          <x:t xml:space="preserve">Do not know</x:t>
        </x:is>
      </x:c>
    </x:row>
    <x:row r="4">
      <x:c r="A4" t="inlineStr">
        <x:is>
          <x:t xml:space="preserve">Neutral</x:t>
        </x:is>
      </x:c>
      <x:c r="B4" t="inlineStr">
        <x:is>
          <x:t xml:space="preserve">Occasionally accessible</x:t>
        </x:is>
      </x:c>
      <x:c r="C4" t="inlineStr">
        <x:is>
          <x:t xml:space="preserve">Occasionally reliable</x:t>
        </x:is>
      </x:c>
      <x:c r="D4" t="inlineStr">
        <x:is>
          <x:t xml:space="preserve">Neutral</x:t>
        </x:is>
      </x:c>
      <x:c r="E4" t="inlineStr">
        <x:is>
          <x:t xml:space="preserve">Neutral</x:t>
        </x:is>
      </x:c>
      <x:c r="F4" t="inlineStr">
        <x:is>
          <x:t xml:space="preserve">Neutral</x:t>
        </x:is>
      </x:c>
      <x:c r="G4" t="inlineStr">
        <x:is>
          <x:t xml:space="preserve">Occasionally sufficient</x:t>
        </x:is>
      </x:c>
      <x:c r="H4" t="inlineStr">
        <x:is>
          <x:t xml:space="preserve">Neutral</x:t>
        </x:is>
      </x:c>
      <x:c r="I4" t="inlineStr">
        <x:is>
          <x:t xml:space="preserve">Surface water (river, lake or pond)</x:t>
        </x:is>
      </x:c>
      <x:c r="J4" t="inlineStr">
        <x:is>
          <x:t xml:space="preserve">Surface water (river, lake or pond)</x:t>
        </x:is>
      </x:c>
      <x:c r="K4" t="inlineStr">
        <x:is>
          <x:t xml:space="preserve">Neutral</x:t>
        </x:is>
      </x:c>
      <x:c r="L4" t="inlineStr">
        <x:is>
          <x:t xml:space="preserve">Do not know</x:t>
        </x:is>
      </x:c>
      <x:c r="M4" t="inlineStr">
        <x:is>
          <x:t xml:space="preserve">Average</x:t>
        </x:is>
      </x:c>
      <x:c r="N4" t="inlineStr">
        <x:is>
          <x:t xml:space="preserve">Yes, often</x:t>
        </x:is>
      </x:c>
      <x:c r="O4" t="inlineStr">
        <x:is>
          <x:t xml:space="preserve">Occasionally accessible</x:t>
        </x:is>
      </x:c>
      <x:c r="P4" t="inlineStr">
        <x:is>
          <x:t xml:space="preserve">15–30 minutes</x:t>
        </x:is>
      </x:c>
      <x:c r="Q4" t="inlineStr">
        <x:is>
          <x:t xml:space="preserve">15–30 minutes</x:t>
        </x:is>
      </x:c>
      <x:c r="R4" t="inlineStr">
        <x:is>
          <x:t xml:space="preserve">Not available</x:t>
        </x:is>
      </x:c>
      <x:c r="S4" t="inlineStr">
        <x:is>
          <x:t xml:space="preserve">Every other day</x:t>
        </x:is>
      </x:c>
      <x:c r="T4" t="inlineStr">
        <x:is>
          <x:t xml:space="preserve">Occasionally reliable</x:t>
        </x:is>
      </x:c>
      <x:c r="U4" t="inlineStr">
        <x:is>
          <x:t xml:space="preserve">Occasionally low</x:t>
        </x:is>
      </x:c>
      <x:c r="V4" t="inlineStr">
        <x:is>
          <x:t xml:space="preserve">Occasionally</x:t>
        </x:is>
      </x:c>
      <x:c r="W4" t="inlineStr">
        <x:is>
          <x:t xml:space="preserve">No backup water</x:t>
        </x:is>
      </x:c>
      <x:c r="X4" t="inlineStr">
        <x:is>
          <x:t xml:space="preserve">Neutral</x:t>
        </x:is>
      </x:c>
      <x:c r="Y4" t="inlineStr">
        <x:is>
          <x:t xml:space="preserve">Yes, significant variations</x:t>
        </x:is>
      </x:c>
      <x:c r="Z4" t="inlineStr">
        <x:is>
          <x:t xml:space="preserve">Poorly maintained</x:t>
        </x:is>
      </x:c>
      <x:c r="AA4" t="inlineStr">
        <x:is>
          <x:t xml:space="preserve">Neutral</x:t>
        </x:is>
      </x:c>
      <x:c r="AB4" t="inlineStr">
        <x:is>
          <x:t xml:space="preserve">Neutral</x:t>
        </x:is>
      </x:c>
      <x:c r="AC4" t="inlineStr">
        <x:is>
          <x:t xml:space="preserve">Neutral</x:t>
        </x:is>
      </x:c>
      <x:c r="AD4" t="inlineStr">
        <x:is>
          <x:t xml:space="preserve">Neutral</x:t>
        </x:is>
      </x:c>
      <x:c r="AE4" t="inlineStr">
        <x:is>
          <x:t xml:space="preserve">Neutral</x:t>
        </x:is>
      </x:c>
      <x:c r="AF4" t="inlineStr">
        <x:is>
          <x:t xml:space="preserve">Occasionally clear</x:t>
        </x:is>
      </x:c>
      <x:c r="AG4" t="inlineStr">
        <x:is>
          <x:t xml:space="preserve">Degraded</x:t>
        </x:is>
      </x:c>
      <x:c r="AH4" t="inlineStr">
        <x:is>
          <x:t xml:space="preserve">Occasionally sufficient</x:t>
        </x:is>
      </x:c>
      <x:c r="AJ4" t="inlineStr">
        <x:is>
          <x:t xml:space="preserve">Not applicable: no network supply</x:t>
        </x:is>
      </x:c>
      <x:c r="AK4" t="inlineStr">
        <x:is>
          <x:t xml:space="preserve">Occasionally</x:t>
        </x:is>
      </x:c>
      <x:c r="AL4" t="inlineStr">
        <x:is>
          <x:t xml:space="preserve">Significant variations</x:t>
        </x:is>
      </x:c>
      <x:c r="AM4" t="inlineStr">
        <x:is>
          <x:t xml:space="preserve">Neutral</x:t>
        </x:is>
      </x:c>
      <x:c r="AN4" t="inlineStr">
        <x:is>
          <x:t xml:space="preserve">Occasionally</x:t>
        </x:is>
      </x:c>
      <x:c r="AO4" t="inlineStr">
        <x:is>
          <x:t xml:space="preserve">Not aware</x:t>
        </x:is>
      </x:c>
      <x:c r="AP4" t="inlineStr">
        <x:is>
          <x:t xml:space="preserve">3</x:t>
        </x:is>
      </x:c>
      <x:c r="AQ4" t="inlineStr">
        <x:is>
          <x:t xml:space="preserve">Temporary housing</x:t>
        </x:is>
      </x:c>
      <x:c r="AR4" t="inlineStr">
        <x:is>
          <x:t xml:space="preserve">Another identity (optional self-description)</x:t>
        </x:is>
      </x:c>
      <x:c r="AS4" t="inlineStr">
        <x:is>
          <x:t xml:space="preserve">Prefer not to answer</x:t>
        </x:is>
      </x:c>
    </x:row>
    <x:row r="5">
      <x:c r="A5" t="inlineStr">
        <x:is>
          <x:t xml:space="preserve">Somewhat unaffordable</x:t>
        </x:is>
      </x:c>
      <x:c r="B5" t="inlineStr">
        <x:is>
          <x:t xml:space="preserve">Rarely accessible</x:t>
        </x:is>
      </x:c>
      <x:c r="C5" t="inlineStr">
        <x:is>
          <x:t xml:space="preserve">Rarely reliable</x:t>
        </x:is>
      </x:c>
      <x:c r="D5" t="inlineStr">
        <x:is>
          <x:t xml:space="preserve">Inefficient</x:t>
        </x:is>
      </x:c>
      <x:c r="E5" t="inlineStr">
        <x:is>
          <x:t xml:space="preserve">Mostly dissatisfied</x:t>
        </x:is>
      </x:c>
      <x:c r="F5" t="inlineStr">
        <x:is>
          <x:t xml:space="preserve">Poor</x:t>
        </x:is>
      </x:c>
      <x:c r="G5" t="inlineStr">
        <x:is>
          <x:t xml:space="preserve">Rarely sufficient</x:t>
        </x:is>
      </x:c>
      <x:c r="H5" t="inlineStr">
        <x:is>
          <x:t xml:space="preserve">Poor</x:t>
        </x:is>
      </x:c>
      <x:c r="I5" t="inlineStr">
        <x:is>
          <x:t xml:space="preserve">Water delivered by tanker or truck</x:t>
        </x:is>
      </x:c>
      <x:c r="J5" t="inlineStr">
        <x:is>
          <x:t xml:space="preserve">Water delivered by tanker or truck</x:t>
        </x:is>
      </x:c>
      <x:c r="K5" t="inlineStr">
        <x:is>
          <x:t xml:space="preserve">Somewhat unaffordable</x:t>
        </x:is>
      </x:c>
      <x:c r="M5" t="inlineStr">
        <x:is>
          <x:t xml:space="preserve">Poor</x:t>
        </x:is>
      </x:c>
      <x:c r="N5" t="inlineStr">
        <x:is>
          <x:t xml:space="preserve">No</x:t>
        </x:is>
      </x:c>
      <x:c r="O5" t="inlineStr">
        <x:is>
          <x:t xml:space="preserve">Rarely accessible</x:t>
        </x:is>
      </x:c>
      <x:c r="P5" t="inlineStr">
        <x:is>
          <x:t xml:space="preserve">30–60 minutes</x:t>
        </x:is>
      </x:c>
      <x:c r="Q5" t="inlineStr">
        <x:is>
          <x:t xml:space="preserve">30–60 minutes</x:t>
        </x:is>
      </x:c>
      <x:c r="R5" t="inlineStr">
        <x:is>
          <x:t xml:space="preserve">Our household does not use this kind of supply</x:t>
        </x:is>
      </x:c>
      <x:c r="S5" t="inlineStr">
        <x:is>
          <x:t xml:space="preserve">A few days each week</x:t>
        </x:is>
      </x:c>
      <x:c r="T5" t="inlineStr">
        <x:is>
          <x:t xml:space="preserve">Rarely reliable</x:t>
        </x:is>
      </x:c>
      <x:c r="U5" t="inlineStr">
        <x:is>
          <x:t xml:space="preserve">Frequently low</x:t>
        </x:is>
      </x:c>
      <x:c r="V5" t="inlineStr">
        <x:is>
          <x:t xml:space="preserve">Rarely</x:t>
        </x:is>
      </x:c>
      <x:c r="W5" t="inlineStr">
        <x:is>
          <x:t xml:space="preserve">Our primary source is not affected by such failures</x:t>
        </x:is>
      </x:c>
      <x:c r="X5" t="inlineStr">
        <x:is>
          <x:t xml:space="preserve">Inefficient</x:t>
        </x:is>
      </x:c>
      <x:c r="Z5" t="inlineStr">
        <x:is>
          <x:t xml:space="preserve">Do not know how it is maintained</x:t>
        </x:is>
      </x:c>
      <x:c r="AA5" t="inlineStr">
        <x:is>
          <x:t xml:space="preserve">Mostly dissatisfied</x:t>
        </x:is>
      </x:c>
      <x:c r="AB5" t="inlineStr">
        <x:is>
          <x:t xml:space="preserve">Somewhat unacceptable</x:t>
        </x:is>
      </x:c>
      <x:c r="AC5" t="inlineStr">
        <x:is>
          <x:t xml:space="preserve">Somewhat unacceptable</x:t>
        </x:is>
      </x:c>
      <x:c r="AD5" t="inlineStr">
        <x:is>
          <x:t xml:space="preserve">Somewhat unacceptable</x:t>
        </x:is>
      </x:c>
      <x:c r="AE5" t="inlineStr">
        <x:is>
          <x:t xml:space="preserve">Poor</x:t>
        </x:is>
      </x:c>
      <x:c r="AF5" t="inlineStr">
        <x:is>
          <x:t xml:space="preserve">Rarely clear</x:t>
        </x:is>
      </x:c>
      <x:c r="AH5" t="inlineStr">
        <x:is>
          <x:t xml:space="preserve">Rarely sufficient</x:t>
        </x:is>
      </x:c>
      <x:c r="AK5" t="inlineStr">
        <x:is>
          <x:t xml:space="preserve">Frequently</x:t>
        </x:is>
      </x:c>
      <x:c r="AM5" t="inlineStr">
        <x:is>
          <x:t xml:space="preserve">Poor</x:t>
        </x:is>
      </x:c>
      <x:c r="AN5" t="inlineStr">
        <x:is>
          <x:t xml:space="preserve">Rarely</x:t>
        </x:is>
      </x:c>
      <x:c r="AP5" t="inlineStr">
        <x:is>
          <x:t xml:space="preserve">4</x:t>
        </x:is>
      </x:c>
      <x:c r="AQ5" t="inlineStr">
        <x:is>
          <x:t xml:space="preserve">Other dwelling type</x:t>
        </x:is>
      </x:c>
      <x:c r="AR5" t="inlineStr">
        <x:is>
          <x:t xml:space="preserve">Prefer not to answer</x:t>
        </x:is>
      </x:c>
    </x:row>
    <x:row r="6">
      <x:c r="A6" t="inlineStr">
        <x:is>
          <x:t xml:space="preserve">Very unaffordable</x:t>
        </x:is>
      </x:c>
      <x:c r="B6" t="inlineStr">
        <x:is>
          <x:t xml:space="preserve">Not accessible</x:t>
        </x:is>
      </x:c>
      <x:c r="C6" t="inlineStr">
        <x:is>
          <x:t xml:space="preserve">Not reliable</x:t>
        </x:is>
      </x:c>
      <x:c r="D6" t="inlineStr">
        <x:is>
          <x:t xml:space="preserve">Very inefficient</x:t>
        </x:is>
      </x:c>
      <x:c r="E6" t="inlineStr">
        <x:is>
          <x:t xml:space="preserve">Completely dissatisfied</x:t>
        </x:is>
      </x:c>
      <x:c r="F6" t="inlineStr">
        <x:is>
          <x:t xml:space="preserve">Very poor</x:t>
        </x:is>
      </x:c>
      <x:c r="G6" t="inlineStr">
        <x:is>
          <x:t xml:space="preserve">Never sufficient</x:t>
        </x:is>
      </x:c>
      <x:c r="H6" t="inlineStr">
        <x:is>
          <x:t xml:space="preserve">Very poor</x:t>
        </x:is>
      </x:c>
      <x:c r="I6" t="inlineStr">
        <x:is>
          <x:t xml:space="preserve">Purchased packaged water (bottles or containers)</x:t>
        </x:is>
      </x:c>
      <x:c r="J6" t="inlineStr">
        <x:is>
          <x:t xml:space="preserve">Purchased packaged water (bottles or containers)</x:t>
        </x:is>
      </x:c>
      <x:c r="K6" t="inlineStr">
        <x:is>
          <x:t xml:space="preserve">Very unaffordable</x:t>
        </x:is>
      </x:c>
      <x:c r="M6" t="inlineStr">
        <x:is>
          <x:t xml:space="preserve">Very poor</x:t>
        </x:is>
      </x:c>
      <x:c r="N6" t="inlineStr">
        <x:is>
          <x:t xml:space="preserve">Our household has not experienced interruptions that I am aware of</x:t>
        </x:is>
      </x:c>
      <x:c r="O6" t="inlineStr">
        <x:is>
          <x:t xml:space="preserve">Not accessible</x:t>
        </x:is>
      </x:c>
      <x:c r="P6" t="inlineStr">
        <x:is>
          <x:t xml:space="preserve">More than one hour</x:t>
        </x:is>
      </x:c>
      <x:c r="Q6" t="inlineStr">
        <x:is>
          <x:t xml:space="preserve">More than one hour</x:t>
        </x:is>
      </x:c>
      <x:c r="S6" t="inlineStr">
        <x:is>
          <x:t xml:space="preserve">Approximately every other week</x:t>
        </x:is>
      </x:c>
      <x:c r="T6" t="inlineStr">
        <x:is>
          <x:t xml:space="preserve">Not reliable</x:t>
        </x:is>
      </x:c>
      <x:c r="U6" t="inlineStr">
        <x:is>
          <x:t xml:space="preserve">Always low</x:t>
        </x:is>
      </x:c>
      <x:c r="V6" t="inlineStr">
        <x:is>
          <x:t xml:space="preserve">Never</x:t>
        </x:is>
      </x:c>
      <x:c r="X6" t="inlineStr">
        <x:is>
          <x:t xml:space="preserve">Very inefficient</x:t>
        </x:is>
      </x:c>
      <x:c r="AA6" t="inlineStr">
        <x:is>
          <x:t xml:space="preserve">Completely dissatisfied</x:t>
        </x:is>
      </x:c>
      <x:c r="AB6" t="inlineStr">
        <x:is>
          <x:t xml:space="preserve">Completely unacceptable</x:t>
        </x:is>
      </x:c>
      <x:c r="AC6" t="inlineStr">
        <x:is>
          <x:t xml:space="preserve">Completely unacceptable</x:t>
        </x:is>
      </x:c>
      <x:c r="AD6" t="inlineStr">
        <x:is>
          <x:t xml:space="preserve">Completely unacceptable</x:t>
        </x:is>
      </x:c>
      <x:c r="AE6" t="inlineStr">
        <x:is>
          <x:t xml:space="preserve">Very poor</x:t>
        </x:is>
      </x:c>
      <x:c r="AF6" t="inlineStr">
        <x:is>
          <x:t xml:space="preserve">Never clear</x:t>
        </x:is>
      </x:c>
      <x:c r="AH6" t="inlineStr">
        <x:is>
          <x:t xml:space="preserve">Never sufficient</x:t>
        </x:is>
      </x:c>
      <x:c r="AK6" t="inlineStr">
        <x:is>
          <x:t xml:space="preserve">Always</x:t>
        </x:is>
      </x:c>
      <x:c r="AM6" t="inlineStr">
        <x:is>
          <x:t xml:space="preserve">Very poor</x:t>
        </x:is>
      </x:c>
      <x:c r="AN6" t="inlineStr">
        <x:is>
          <x:t xml:space="preserve">Never</x:t>
        </x:is>
      </x:c>
      <x:c r="AP6" t="inlineStr">
        <x:is>
          <x:t xml:space="preserve">5</x:t>
        </x:is>
      </x:c>
    </x:row>
    <x:row r="7">
      <x:c r="H7" t="inlineStr">
        <x:is>
          <x:t xml:space="preserve">We have a full water system in-house (not dependent on any provider)</x:t>
        </x:is>
      </x:c>
      <x:c r="I7" t="inlineStr">
        <x:is>
          <x:t xml:space="preserve">Other water source</x:t>
        </x:is>
      </x:c>
      <x:c r="J7" t="inlineStr">
        <x:is>
          <x:t xml:space="preserve">Other water source</x:t>
        </x:is>
      </x:c>
      <x:c r="S7" t="inlineStr">
        <x:is>
          <x:t xml:space="preserve">Not applicable: no relevant network service</x:t>
        </x:is>
      </x:c>
      <x:c r="U7" t="inlineStr">
        <x:is>
          <x:t xml:space="preserve">Not applicable: no piped supply</x:t>
        </x:is>
      </x:c>
      <x:c r="V7" t="inlineStr">
        <x:is>
          <x:t xml:space="preserve">There is no communication channel</x:t>
        </x:is>
      </x:c>
      <x:c r="AM7" t="inlineStr">
        <x:is>
          <x:t xml:space="preserve">We have a full water system in-house (not dependent on any provider)</x:t>
        </x:is>
      </x:c>
      <x:c r="AN7" t="inlineStr">
        <x:is>
          <x:t xml:space="preserve">Not applicable: no relevant supplier or no complaints</x:t>
        </x:is>
      </x:c>
      <x:c r="AP7" t="inlineStr">
        <x:is>
          <x:t xml:space="preserve">6</x:t>
        </x:is>
      </x:c>
    </x:row>
    <x:row r="8">
      <x:c r="V8" t="inlineStr">
        <x:is>
          <x:t xml:space="preserve">Not applicable: no supplier or planned interruptions</x:t>
        </x:is>
      </x:c>
      <x:c r="AP8" t="inlineStr">
        <x:is>
          <x:t xml:space="preserve">7</x:t>
        </x:is>
      </x:c>
    </x:row>
    <x:row r="9">
      <x:c r="AP9" t="inlineStr">
        <x:is>
          <x:t xml:space="preserve">8 or more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85" hidden="0" customWidth="1"/>
    <x:col min="4" max="4" width="62" hidden="0" customWidth="1"/>
  </x:cols>
  <x:sheetData>
    <x:row r="1">
      <x:c r="A1" s="13" t="str">
        <x:v>CORE-8 QUESTION REFERENCE</x:v>
      </x:c>
      <x:c r="B1" s="13" t="str"/>
      <x:c r="C1" s="13" t="str"/>
      <x:c r="D1" s="13" t="str"/>
    </x:row>
    <x:row r="2">
      <x:c r="A2" s="13"/>
      <x:c r="B2" s="13"/>
      <x:c r="C2" s="13"/>
      <x:c r="D2" s="13"/>
    </x:row>
    <x:row r="3" ht="32" customHeight="1">
      <x:c r="A3" s="13" t="str">
        <x:v>Question ID</x:v>
      </x:c>
      <x:c r="B3" s="13" t="str">
        <x:v>Domain</x:v>
      </x:c>
      <x:c r="C3" s="13" t="str">
        <x:v>Full internationally adapted question</x:v>
      </x:c>
      <x:c r="D3" s="13" t="str">
        <x:v>Available response choices (order retained)</x:v>
      </x:c>
    </x:row>
    <x:row r="4" ht="112" customHeight="1">
      <x:c r="A4" s="11" t="str">
        <x:v>Q2.2</x:v>
      </x:c>
      <x:c r="B4" s="11" t="str">
        <x:v>Affordability</x:v>
      </x:c>
      <x:c r="C4" s="15" t="str">
        <x:v>How affordable is your household’s drinking water, considering any costs of purchasing, treating or obtaining it?</x:v>
      </x:c>
      <x:c r="D4" s="15" t="str">
        <x:v>Very affordable
Somewhat affordable
Neutral
Somewhat unaffordable
Very unaffordable</x:v>
      </x:c>
    </x:row>
    <x:row r="5" ht="112" customHeight="1">
      <x:c r="A5" s="11" t="str">
        <x:v>Q3.1</x:v>
      </x:c>
      <x:c r="B5" s="11" t="str">
        <x:v>Access</x:v>
      </x:c>
      <x:c r="C5" s="15" t="str">
        <x:v>How accessible is your primary drinking water supply (for example, ease of reaching a tap, well or water seller)?</x:v>
      </x:c>
      <x:c r="D5" s="15" t="str">
        <x:v>Very accessible
Accessible most of the time
Occasionally accessible
Rarely accessible
Not accessible</x:v>
      </x:c>
    </x:row>
    <x:row r="6" ht="112" customHeight="1">
      <x:c r="A6" s="11" t="str">
        <x:v>Q4.1</x:v>
      </x:c>
      <x:c r="B6" s="11" t="str">
        <x:v>Reliability</x:v>
      </x:c>
      <x:c r="C6" s="15" t="str">
        <x:v>How reliable is your primary water supply?</x:v>
      </x:c>
      <x:c r="D6" s="15" t="str">
        <x:v>Always reliable
Mostly reliable
Occasionally reliable
Rarely reliable
Not reliable</x:v>
      </x:c>
    </x:row>
    <x:row r="7" ht="112" customHeight="1">
      <x:c r="A7" s="11" t="str">
        <x:v>Q5.1</x:v>
      </x:c>
      <x:c r="B7" s="11" t="str">
        <x:v>Efficiency</x:v>
      </x:c>
      <x:c r="C7" s="15" t="str">
        <x:v>How do you rate the efficiency of your primary water system? Efficiency means delivering sufficient water with minimal household effort, delay or energy use.</x:v>
      </x:c>
      <x:c r="D7" s="15" t="str">
        <x:v>Very efficient
Efficient
Neutral
Inefficient
Very inefficient</x:v>
      </x:c>
    </x:row>
    <x:row r="8" ht="112" customHeight="1">
      <x:c r="A8" s="11" t="str">
        <x:v>Q6.1</x:v>
      </x:c>
      <x:c r="B8" s="11" t="str">
        <x:v>Acceptability</x:v>
      </x:c>
      <x:c r="C8" s="15" t="str">
        <x:v>Are you satisfied with your current primary water supply source?</x:v>
      </x:c>
      <x:c r="D8" s="15" t="str">
        <x:v>Completely satisfied
Mostly satisfied
Neutral
Mostly dissatisfied
Completely dissatisfied</x:v>
      </x:c>
    </x:row>
    <x:row r="9" ht="112" customHeight="1">
      <x:c r="A9" s="11" t="str">
        <x:v>Q7.1</x:v>
      </x:c>
      <x:c r="B9" s="11" t="str">
        <x:v>Quality</x:v>
      </x:c>
      <x:c r="C9" s="15" t="str">
        <x:v>How would you rate the quality of water you receive, considering its condition and any contamination you know about?</x:v>
      </x:c>
      <x:c r="D9" s="15" t="str">
        <x:v>Excellent
Good
Neutral
Poor
Very poor</x:v>
      </x:c>
    </x:row>
    <x:row r="10" ht="112" customHeight="1">
      <x:c r="A10" s="11" t="str">
        <x:v>Q8.1</x:v>
      </x:c>
      <x:c r="B10" s="11" t="str">
        <x:v>Quantity</x:v>
      </x:c>
      <x:c r="C10" s="15" t="str">
        <x:v>Is the amount of water available sufficient for your household’s daily needs (for example, drinking, cooking and cleaning)?</x:v>
      </x:c>
      <x:c r="D10" s="15" t="str">
        <x:v>Always sufficient
Mostly sufficient
Occasionally sufficient
Rarely sufficient
Never sufficient</x:v>
      </x:c>
    </x:row>
    <x:row r="11" ht="112" customHeight="1">
      <x:c r="A11" s="11" t="str">
        <x:v>Q9.1</x:v>
      </x:c>
      <x:c r="B11" s="11" t="str">
        <x:v>Customer service</x:v>
      </x:c>
      <x:c r="C11" s="15" t="str">
        <x:v>How would you rate the customer service provided by your water supplier, if applicable?</x:v>
      </x:c>
      <x:c r="D11" s="15" t="str">
        <x:v>Excellent
Good
Neutral
Poor
Very poor
We have a full water system in-house (not dependent on any provider)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</x:cols>
  <x:sheetData>
    <x:row r="1" ht="25" customHeight="1">
      <x:c r="A1" s="13" t="str">
        <x:v>SUPPLEMENTARY RESEARCH QUESTIONS | ORIGINAL CORE-8 IS UNCHANGED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</x:row>
    <x:row r="2" ht="30" customHeight="1">
      <x:c r="A2" s="13" t="str">
        <x:v>Enter a registered EXT_ question ID in each column heading on row 4. Match record IDs in RESEARCH ENTRY. Do not enter respondent names.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</x:row>
    <x:row r="3" ht="30" customHeight="1">
      <x:c r="A3" s="13" t="str">
        <x:v>Generate the supplement with tools/build_extension_supplement.py; export and validate responses with tools/extract_research_entry.py. Keep respondent data private.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 s="13"/>
      <x:c r="AD3" s="13"/>
      <x:c r="AE3" s="13"/>
      <x:c r="AF3" s="13"/>
    </x:row>
    <x:row r="4" ht="22" customHeight="1">
      <x:c r="A4" s="13" t="str">
        <x:v>Record ID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3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</x:row>
  </x:sheetData>
  <x:pageMargins left="0.7" right="0.7" top="0.75" bottom="0.75" header="0.3" footer="0.3"/>
</x:worksheet>
</file>